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hecklist" sheetId="2" state="visible" r:id="rId4"/>
    <sheet name="Auditoría" sheetId="3" state="visible" r:id="rId5"/>
    <sheet name="Registro" sheetId="4" state="visible" r:id="rId6"/>
    <sheet name="Tareas" sheetId="5" state="visible" r:id="rId7"/>
  </sheets>
  <definedNames>
    <definedName function="false" hidden="true" localSheetId="1" name="_xlnm._FilterDatabase" vbProcedure="false">Checklist!$A$9:$L$29</definedName>
    <definedName function="false" hidden="true" localSheetId="4" name="_xlnm._FilterDatabase" vbProcedure="false">Tareas!$A$4:$D$35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<sst xmlns="http://schemas.openxmlformats.org/spreadsheetml/2006/main" count="496" uniqueCount="289">
  <si>
    <t xml:space="preserve">Accesibilidad – Herramientas de trabajo</t>
  </si>
  <si>
    <t xml:space="preserve">Trabajo Grupal Unidad 3 · GCyPW · Consultora de marketing digital · WordPress + WooCommerce · Rol: Especialista en accesibilidad</t>
  </si>
  <si>
    <t xml:space="preserve">Hoja</t>
  </si>
  <si>
    <t xml:space="preserve">Para qué sirve</t>
  </si>
  <si>
    <t xml:space="preserve">Checklist</t>
  </si>
  <si>
    <t xml:space="preserve">Evidencia principal del rol ("Checklist de accesibilidad" que pide la consigna). Una fila por criterio. Completás Resultado, captura y frase cuando revisás el sitio.</t>
  </si>
  <si>
    <t xml:space="preserve">Auditoría</t>
  </si>
  <si>
    <t xml:space="preserve">"Evidencia de validación básica": puntajes de Lighthouse y errores de WAVE antes y después de corregir. La mejora se calcula sola.</t>
  </si>
  <si>
    <t xml:space="preserve">Registro</t>
  </si>
  <si>
    <t xml:space="preserve">Registro de trabajo: qué hiciste, cuándo y con quién coordinaste. Sirve para demostrar tu participación y escribir tu parte del PDF.</t>
  </si>
  <si>
    <t xml:space="preserve">Tareas</t>
  </si>
  <si>
    <t xml:space="preserve">Checklist final de cumplimiento: marcá cada tarea como Pendiente / En curso / Completada.</t>
  </si>
  <si>
    <t xml:space="preserve">Cómo completar</t>
  </si>
  <si>
    <t xml:space="preserve">Celdas amarillas</t>
  </si>
  <si>
    <t xml:space="preserve">Son las que completás vos. El resto (encabezados, criterios, fórmulas) no hace falta tocarlo.</t>
  </si>
  <si>
    <t xml:space="preserve">Listas desplegables</t>
  </si>
  <si>
    <t xml:space="preserve">Resultado, Estado y Tipo se eligen de una lista para que los conteos funcionen.</t>
  </si>
  <si>
    <t xml:space="preserve">Tipo: Consigna</t>
  </si>
  <si>
    <t xml:space="preserve">Lo exige el PDF de la cátedra (ALT, contraste, teclado, etiquetas en formularios, encabezados, contenido comprensible, feedback, validación básica).</t>
  </si>
  <si>
    <t xml:space="preserve">Tipo: Recomendado</t>
  </si>
  <si>
    <t xml:space="preserve">Buena práctica WCAG 2.2 que suma calidad, pero no es exigencia expresa de la consigna.</t>
  </si>
  <si>
    <t xml:space="preserve">Frase de evidencia</t>
  </si>
  <si>
    <t xml:space="preserve">La consigna pide que cada captura tenga una frase que indique qué se muestra y qué criterio cumple. No dejes capturas sin frase.</t>
  </si>
  <si>
    <t xml:space="preserve">Nombre de capturas</t>
  </si>
  <si>
    <t xml:space="preserve">AAAA-MM-DD_pagina_criterio_estado.png  (ej.: 2026-10-25_contacto_etiquetas_ok.png)</t>
  </si>
  <si>
    <t xml:space="preserve">Checklist de accesibilidad – WCAG 2.2 nivel AA</t>
  </si>
  <si>
    <t xml:space="preserve">Sitio:</t>
  </si>
  <si>
    <t xml:space="preserve">https://afrimia.rf.gd</t>
  </si>
  <si>
    <t xml:space="preserve">Resumen</t>
  </si>
  <si>
    <t xml:space="preserve">Criterios de la consigna resueltos</t>
  </si>
  <si>
    <t xml:space="preserve">Recomendados resueltos</t>
  </si>
  <si>
    <t xml:space="preserve">No cumple (a corregir)</t>
  </si>
  <si>
    <t xml:space="preserve">Pendientes de revisar</t>
  </si>
  <si>
    <t xml:space="preserve">#</t>
  </si>
  <si>
    <t xml:space="preserve">Criterio</t>
  </si>
  <si>
    <t xml:space="preserve">WCAG</t>
  </si>
  <si>
    <t xml:space="preserve">Tipo</t>
  </si>
  <si>
    <t xml:space="preserve">Qué revisar</t>
  </si>
  <si>
    <t xml:space="preserve">Páginas</t>
  </si>
  <si>
    <t xml:space="preserve">Herramienta</t>
  </si>
  <si>
    <t xml:space="preserve">Resultado</t>
  </si>
  <si>
    <t xml:space="preserve">Captura (archivo)</t>
  </si>
  <si>
    <t xml:space="preserve">Fecha</t>
  </si>
  <si>
    <t xml:space="preserve">Observaciones / corrección aplicada</t>
  </si>
  <si>
    <t xml:space="preserve">Texto alternativo (ALT) en imágenes</t>
  </si>
  <si>
    <t xml:space="preserve">1.1.1</t>
  </si>
  <si>
    <t xml:space="preserve">Consigna</t>
  </si>
  <si>
    <t xml:space="preserve">Las imágenes de los servicios, el logo y las imágenes de páginas tienen ALT descriptivo; las decorativas, ALT vacío.</t>
  </si>
  <si>
    <t xml:space="preserve">Inicio, Tienda, fichas</t>
  </si>
  <si>
    <t xml:space="preserve">WAVE · Biblioteca de medios</t>
  </si>
  <si>
    <t xml:space="preserve">Cumple</t>
  </si>
  <si>
    <t xml:space="preserve">Evidencias_accesibilidad/02_texto_alternativo/01_inicio_alt_visible.png</t>
  </si>
  <si>
    <t xml:space="preserve">Todas las imágenes con información tienen ALT descriptivo (servicios, trabajos, blog, logo); las decorativas de las tarjetas llevan ALT vacío.</t>
  </si>
  <si>
    <t xml:space="preserve">Se cargó el ALT de 20 imágenes en la Biblioteca de medios.</t>
  </si>
  <si>
    <t xml:space="preserve">Contraste de texto</t>
  </si>
  <si>
    <t xml:space="preserve">1.4.3</t>
  </si>
  <si>
    <t xml:space="preserve">Texto común ≥ 4.5:1; texto grande (24 px o 18.5 px negrita) ≥ 3:1. Incluye precio, menú, footer y texto sobre el hero.</t>
  </si>
  <si>
    <t xml:space="preserve">Todas</t>
  </si>
  <si>
    <t xml:space="preserve">WebAIM Contrast Checker</t>
  </si>
  <si>
    <t xml:space="preserve">Evidencias_accesibilidad/07_contraste/tabla_de_contraste_paleta.png</t>
  </si>
  <si>
    <t xml:space="preserve">Paleta Valten: párrafos #2D0000 sobre #F0E9D7 = 15.6:1; títulos #6C0808 sobre #F0E9D7 = 10.35:1.</t>
  </si>
  <si>
    <t xml:space="preserve">El verde #757D6E (3.53:1) se usa solo en líneas, bordes y detalles gráficos, nunca en texto chico.</t>
  </si>
  <si>
    <t xml:space="preserve">Contraste de botones y campos</t>
  </si>
  <si>
    <t xml:space="preserve">1.4.11</t>
  </si>
  <si>
    <t xml:space="preserve">Botones (Contratar, Solicitar presupuesto) y bordes de campos ≥ 3:1.</t>
  </si>
  <si>
    <t xml:space="preserve">Inicio, fichas, Contacto</t>
  </si>
  <si>
    <t xml:space="preserve">Corregido</t>
  </si>
  <si>
    <t xml:space="preserve">Botones (beige sobre bordó 10.35:1), bordes verdes de tarjetas y campos (3.53:1) e indicador de foco superan 3:1.</t>
  </si>
  <si>
    <t xml:space="preserve">Se corrigió el botón 'Pasar al pago' del carrito (1.04:1 → 10.35:1) y el aviso de 'agregado al carrito'.</t>
  </si>
  <si>
    <t xml:space="preserve">Navegación por teclado</t>
  </si>
  <si>
    <t xml:space="preserve">2.1.1</t>
  </si>
  <si>
    <t xml:space="preserve">Recorrido con Tab/Enter: Inicio → Tienda → ficha → Agregar al carrito → Carrito → Finalizar compra → Contacto.</t>
  </si>
  <si>
    <t xml:space="preserve">Todo el sitio</t>
  </si>
  <si>
    <t xml:space="preserve">Prueba manual</t>
  </si>
  <si>
    <t xml:space="preserve">Evidencias_accesibilidad/05_prueba_teclado/</t>
  </si>
  <si>
    <t xml:space="preserve">Se recorrió Inicio → Tienda → ficha → Agregar al carrito → Carrito (Pasar al pago) → Checkout → Contacto solo con Tab y Enter.</t>
  </si>
  <si>
    <t xml:space="preserve">Se agregaron nombre y control por teclado al buscador y al botón de menú del header.</t>
  </si>
  <si>
    <t xml:space="preserve">Sin trampas de teclado</t>
  </si>
  <si>
    <t xml:space="preserve">2.1.2</t>
  </si>
  <si>
    <t xml:space="preserve">El foco nunca queda atrapado (pop-ups, carrusel, chat, banner de cookies).</t>
  </si>
  <si>
    <t xml:space="preserve">El foco nunca quedó atrapado; los submenús se recorren y se sale con Tab.</t>
  </si>
  <si>
    <t xml:space="preserve">Foco visible</t>
  </si>
  <si>
    <t xml:space="preserve">2.4.7</t>
  </si>
  <si>
    <t xml:space="preserve">Cada enlace, botón y campo muestra un indicador al recibir el foco.</t>
  </si>
  <si>
    <t xml:space="preserve">Evidencias_accesibilidad/05_prueba_teclado/06_carrito_foco_pasar_al_pago.png</t>
  </si>
  <si>
    <t xml:space="preserve">Cada enlace, botón y campo muestra un contorno bordó de 3 px al recibir el foco.</t>
  </si>
  <si>
    <t xml:space="preserve">Divi quitaba el contorno de foco (outline 0); se agregó un estilo de foco visible.</t>
  </si>
  <si>
    <t xml:space="preserve">Etiquetas en formularios</t>
  </si>
  <si>
    <t xml:space="preserve">1.3.1 · 3.3.2</t>
  </si>
  <si>
    <t xml:space="preserve">Cada campo tiene etiqueta visible; el placeholder no reemplaza a la etiqueta.</t>
  </si>
  <si>
    <t xml:space="preserve">Contacto, checkout</t>
  </si>
  <si>
    <t xml:space="preserve">WAVE</t>
  </si>
  <si>
    <t xml:space="preserve">Evidencias_accesibilidad/04_formulario/01_campos_con_etiqueta_visible.png</t>
  </si>
  <si>
    <t xml:space="preserve">Cada campo del formulario de contacto tiene etiqueta visible; el texto de ejemplo no reemplaza la etiqueta.</t>
  </si>
  <si>
    <t xml:space="preserve">Se cerraron los comentarios del blog: el formulario de Divi ocultaba sus etiquetas.</t>
  </si>
  <si>
    <t xml:space="preserve">Encabezados jerárquicos</t>
  </si>
  <si>
    <t xml:space="preserve">1.3.1 · 2.4.6</t>
  </si>
  <si>
    <t xml:space="preserve">Un solo H1 por página; H2 y H3 en orden, sin saltear niveles; sin negritas en lugar de títulos.</t>
  </si>
  <si>
    <t xml:space="preserve">Páginas principales + 5 fichas</t>
  </si>
  <si>
    <t xml:space="preserve">HeadingsMap · WAVE</t>
  </si>
  <si>
    <t xml:space="preserve">Evidencias_accesibilidad/03_encabezados/01_inicio_jerarquia.png</t>
  </si>
  <si>
    <t xml:space="preserve">Un solo H1 por página y H2/H3 en orden (ver estructura_de_encabezados.txt).</t>
  </si>
  <si>
    <t xml:space="preserve">Se agregó el H1 que faltaba en la página del Blog.</t>
  </si>
  <si>
    <t xml:space="preserve">Contenido comprensible</t>
  </si>
  <si>
    <t xml:space="preserve">3.1</t>
  </si>
  <si>
    <t xml:space="preserve">Párrafos cortos, listas para lo que incluye cada paquete, jerga de marketing explicada.</t>
  </si>
  <si>
    <t xml:space="preserve">Páginas principales + fichas</t>
  </si>
  <si>
    <t xml:space="preserve">Revisión manual</t>
  </si>
  <si>
    <t xml:space="preserve">Evidencias_accesibilidad/01_paginas_publicadas/</t>
  </si>
  <si>
    <t xml:space="preserve">Textos breves, listas para lo que incluye cada servicio y términos explicados (SEO, Ads).</t>
  </si>
  <si>
    <t xml:space="preserve">Feedback con reporte de accesibilidad</t>
  </si>
  <si>
    <t xml:space="preserve">—</t>
  </si>
  <si>
    <t xml:space="preserve">El formulario o mecanismo de feedback permite reportar problemas de accesibilidad (compartido con Integración).</t>
  </si>
  <si>
    <t xml:space="preserve">Contacto</t>
  </si>
  <si>
    <t xml:space="preserve">El formulario incluye la opción 'Reportar un problema de accesibilidad o de uso'.</t>
  </si>
  <si>
    <t xml:space="preserve">Compartido con Integración. El envío de mails requiere configurar SMTP.</t>
  </si>
  <si>
    <t xml:space="preserve">Validación básica antes/después</t>
  </si>
  <si>
    <t xml:space="preserve">Auditoría con Lighthouse y WAVE antes y después de corregir (ver hoja Auditoría).</t>
  </si>
  <si>
    <t xml:space="preserve">4–5 páginas</t>
  </si>
  <si>
    <t xml:space="preserve">Lighthouse · WAVE</t>
  </si>
  <si>
    <t xml:space="preserve">Evidencias_accesibilidad/08_auditoria_automatica/informe_antes_despues.png</t>
  </si>
  <si>
    <t xml:space="preserve">Auditoría automática con axe-core: 143 elementos con problemas antes, 5 después.</t>
  </si>
  <si>
    <t xml:space="preserve">Los restantes son componentes internos de WooCommerce (aviso del carrito y animación de carga).</t>
  </si>
  <si>
    <t xml:space="preserve">Mensajes de error claros</t>
  </si>
  <si>
    <t xml:space="preserve">3.3.1</t>
  </si>
  <si>
    <t xml:space="preserve">Recomendado</t>
  </si>
  <si>
    <t xml:space="preserve">Al enviar con errores, el mensaje dice qué campo falta.</t>
  </si>
  <si>
    <t xml:space="preserve">Evidencias_accesibilidad/04_formulario/02_errores_escritos_al_enviar_vacio.png</t>
  </si>
  <si>
    <t xml:space="preserve">Al enviar el formulario vacío, cada campo obligatorio muestra un mensaje escrito.</t>
  </si>
  <si>
    <t xml:space="preserve">Mensajes de error traducidos y explicativos.</t>
  </si>
  <si>
    <t xml:space="preserve">Obligatorios no solo con color</t>
  </si>
  <si>
    <t xml:space="preserve">1.4.1</t>
  </si>
  <si>
    <t xml:space="preserve">Campos obligatorios con * y aclaración escrita.</t>
  </si>
  <si>
    <t xml:space="preserve">Los obligatorios se marcan con (*) y la aclaración escrita.</t>
  </si>
  <si>
    <t xml:space="preserve">Enlaces descriptivos</t>
  </si>
  <si>
    <t xml:space="preserve">2.4.4</t>
  </si>
  <si>
    <t xml:space="preserve">Nada de "click aquí"; botones dicen adónde llevan.</t>
  </si>
  <si>
    <t xml:space="preserve">Evidencias_accesibilidad/01_paginas_publicadas/01_inicio_escritorio.png</t>
  </si>
  <si>
    <t xml:space="preserve">Botones descriptivos: 'Ver servicios de Branding', 'Quiero una propuesta'.</t>
  </si>
  <si>
    <t xml:space="preserve">Las flechas de las tarjetas tienen nombre accesible.</t>
  </si>
  <si>
    <t xml:space="preserve">Saltar al contenido</t>
  </si>
  <si>
    <t xml:space="preserve">2.4.1</t>
  </si>
  <si>
    <t xml:space="preserve">Al apretar Tab al cargar la página aparece "Saltar al contenido".</t>
  </si>
  <si>
    <t xml:space="preserve">Inicio</t>
  </si>
  <si>
    <t xml:space="preserve">Evidencias_accesibilidad/05_prueba_teclado/01_inicio_saltar_al_contenido.png</t>
  </si>
  <si>
    <t xml:space="preserve">Al presionar Tab aparece 'Saltar al contenido'.</t>
  </si>
  <si>
    <t xml:space="preserve">Divi no lo traía; se agregó junto con la región principal (main).</t>
  </si>
  <si>
    <t xml:space="preserve">Idioma del sitio</t>
  </si>
  <si>
    <t xml:space="preserve">3.1.1</t>
  </si>
  <si>
    <t xml:space="preserve">Idioma configurado en Español (lang="es").</t>
  </si>
  <si>
    <t xml:space="preserve">Lighthouse</t>
  </si>
  <si>
    <t xml:space="preserve">Sitio configurado en español (es-AR).</t>
  </si>
  <si>
    <t xml:space="preserve">Títulos de página</t>
  </si>
  <si>
    <t xml:space="preserve">2.4.2</t>
  </si>
  <si>
    <t xml:space="preserve">Cada página tiene un título único y descriptivo (con SEO).</t>
  </si>
  <si>
    <t xml:space="preserve">Pestaña del navegador</t>
  </si>
  <si>
    <t xml:space="preserve">Cada página tiene título único: 'Contacto - Valten mkt studio'.</t>
  </si>
  <si>
    <t xml:space="preserve">Compartido con SEO.</t>
  </si>
  <si>
    <t xml:space="preserve">Menú móvil con teclado</t>
  </si>
  <si>
    <t xml:space="preserve">El menú hamburguesa se abre con Enter y se cierra con Esc.</t>
  </si>
  <si>
    <t xml:space="preserve">Vista móvil</t>
  </si>
  <si>
    <t xml:space="preserve">DevTools modo dispositivo</t>
  </si>
  <si>
    <t xml:space="preserve">Evidencias_accesibilidad/05_prueba_teclado/11_movil_menu_abierto_con_enter.png</t>
  </si>
  <si>
    <t xml:space="preserve">El menú hamburguesa se abre con Enter.</t>
  </si>
  <si>
    <t xml:space="preserve">Se agregó rol de botón y nombre 'Abrir menú'.</t>
  </si>
  <si>
    <t xml:space="preserve">Zoom 200% sin cortes</t>
  </si>
  <si>
    <t xml:space="preserve">1.4.4 · 1.4.10</t>
  </si>
  <si>
    <t xml:space="preserve">Con zoom al 200% no se corta ni superpone contenido.</t>
  </si>
  <si>
    <t xml:space="preserve">Páginas principales</t>
  </si>
  <si>
    <t xml:space="preserve">Navegador (Ctrl +)</t>
  </si>
  <si>
    <t xml:space="preserve">Evidencias_accesibilidad/06_zoom_200/inicio_zoom_200.png</t>
  </si>
  <si>
    <t xml:space="preserve">Divi bloqueaba el zoom en celulares (user-scalable=no); se habilitó.</t>
  </si>
  <si>
    <t xml:space="preserve">Movimiento con pausa</t>
  </si>
  <si>
    <t xml:space="preserve">2.2.2</t>
  </si>
  <si>
    <t xml:space="preserve">Carruseles o videos automáticos tienen pausa (o no arrancan solos).</t>
  </si>
  <si>
    <t xml:space="preserve">No aplica</t>
  </si>
  <si>
    <t xml:space="preserve">El sitio no tiene carruseles ni videos automáticos.</t>
  </si>
  <si>
    <t xml:space="preserve">Auditoría de accesibilidad – antes y después</t>
  </si>
  <si>
    <t xml:space="preserve">Herramienta usada: axe-core 4.10 (motor de Lighthouse), reglas WCAG 2.2 A/AA. Las columnas WAVE se completan con la extensión WAVE en el navegador.</t>
  </si>
  <si>
    <t xml:space="preserve">Fecha medición "antes":</t>
  </si>
  <si>
    <t xml:space="preserve">Fecha medición "después":</t>
  </si>
  <si>
    <t xml:space="preserve">Página</t>
  </si>
  <si>
    <t xml:space="preserve">URL</t>
  </si>
  <si>
    <t xml:space="preserve">Problemas antes (axe)</t>
  </si>
  <si>
    <t xml:space="preserve">Problemas después (axe)</t>
  </si>
  <si>
    <t xml:space="preserve">Problemas corregidos</t>
  </si>
  <si>
    <t xml:space="preserve">WAVE errores antes</t>
  </si>
  <si>
    <t xml:space="preserve">WAVE errores después</t>
  </si>
  <si>
    <t xml:space="preserve">WAVE contraste antes</t>
  </si>
  <si>
    <t xml:space="preserve">WAVE contraste después</t>
  </si>
  <si>
    <t xml:space="preserve">Captura antes</t>
  </si>
  <si>
    <t xml:space="preserve">Captura después</t>
  </si>
  <si>
    <t xml:space="preserve">https://afrimia.rf.gd/</t>
  </si>
  <si>
    <t xml:space="preserve">Tienda</t>
  </si>
  <si>
    <t xml:space="preserve">https://afrimia.rf.gd/tienda/</t>
  </si>
  <si>
    <t xml:space="preserve">Ficha de servicio: Gestión de redes</t>
  </si>
  <si>
    <t xml:space="preserve">https://afrimia.rf.gd/producto/gestion-de-redes-sociales-plan-mensual/</t>
  </si>
  <si>
    <t xml:space="preserve">https://afrimia.rf.gd/contacto/</t>
  </si>
  <si>
    <t xml:space="preserve">Sección adicional: Nosotros</t>
  </si>
  <si>
    <t xml:space="preserve">https://afrimia.rf.gd/nosotros/</t>
  </si>
  <si>
    <t xml:space="preserve">Promedio / Total</t>
  </si>
  <si>
    <t xml:space="preserve">Frase para el PDF/video: "La auditoría automática bajó de 143 a 5 elementos con problemas en todo el sitio (29 a 2 en las 5 páginas principales)."</t>
  </si>
  <si>
    <t xml:space="preserve">Registro de trabajo – Especialista en accesibilidad</t>
  </si>
  <si>
    <t xml:space="preserve">Una fila por tarea o coordinación. La primera fila es un ejemplo con lo ya hecho.</t>
  </si>
  <si>
    <t xml:space="preserve">Etapa</t>
  </si>
  <si>
    <t xml:space="preserve">Qué hice</t>
  </si>
  <si>
    <t xml:space="preserve">Coordiné con</t>
  </si>
  <si>
    <t xml:space="preserve">Evidencia (archivo o enlace)</t>
  </si>
  <si>
    <t xml:space="preserve">Estado</t>
  </si>
  <si>
    <t xml:space="preserve">0 – Arranque</t>
  </si>
  <si>
    <t xml:space="preserve">Armé la guía "Pautas de accesibilidad para el equipo" con reglas generales, pautas por rol y ejemplos de ALT.</t>
  </si>
  <si>
    <t xml:space="preserve">Guía lista para compartir con el grupo</t>
  </si>
  <si>
    <t xml:space="preserve">Todo el grupo</t>
  </si>
  <si>
    <t xml:space="preserve">Documento compartido 'Pautas de accesibilidad para el equipo'</t>
  </si>
  <si>
    <t xml:space="preserve">Completada</t>
  </si>
  <si>
    <t xml:space="preserve">1 – Auditoría antes</t>
  </si>
  <si>
    <t xml:space="preserve">Auditoría automática inicial de 11 páginas en escritorio y celular.</t>
  </si>
  <si>
    <t xml:space="preserve">143 elementos con problemas detectados (zoom bloqueado, foco invisible, sin 'Saltar al contenido', contraste en WooCommerce).</t>
  </si>
  <si>
    <t xml:space="preserve">Evidencias_accesibilidad/08_auditoria_automatica/resultado_antes.json</t>
  </si>
  <si>
    <t xml:space="preserve">3 – ALT</t>
  </si>
  <si>
    <t xml:space="preserve">Carga de textos alternativos en imágenes de servicios, trabajos, blog y logo.</t>
  </si>
  <si>
    <t xml:space="preserve">20 imágenes con ALT descriptivo.</t>
  </si>
  <si>
    <t xml:space="preserve">Responsable de contenido</t>
  </si>
  <si>
    <t xml:space="preserve">Evidencias_accesibilidad/02_texto_alternativo/</t>
  </si>
  <si>
    <t xml:space="preserve">4 – Contraste</t>
  </si>
  <si>
    <t xml:space="preserve">Verificación de contraste de la paleta y corrección de colores de WooCommerce.</t>
  </si>
  <si>
    <t xml:space="preserve">Todas las combinaciones superan 4.5:1 (texto) y 3:1 (componentes).</t>
  </si>
  <si>
    <t xml:space="preserve">Diseño y usabilidad</t>
  </si>
  <si>
    <t xml:space="preserve">5 – Encabezados y contenido</t>
  </si>
  <si>
    <t xml:space="preserve">Revisión de jerarquía H1-H3 en todas las páginas.</t>
  </si>
  <si>
    <t xml:space="preserve">Un H1 por página; se agregó el H1 del Blog.</t>
  </si>
  <si>
    <t xml:space="preserve">Encargado/a de SEO</t>
  </si>
  <si>
    <t xml:space="preserve">Evidencias_accesibilidad/03_encabezados/</t>
  </si>
  <si>
    <t xml:space="preserve">6 – Formularios</t>
  </si>
  <si>
    <t xml:space="preserve">Revisión del formulario de contacto: etiquetas, obligatorios y errores.</t>
  </si>
  <si>
    <t xml:space="preserve">Etiquetas visibles, errores escritos y opción de reporte de accesibilidad.</t>
  </si>
  <si>
    <t xml:space="preserve">Integración y analítica</t>
  </si>
  <si>
    <t xml:space="preserve">Evidencias_accesibilidad/04_formulario/</t>
  </si>
  <si>
    <t xml:space="preserve">7 – Teclado</t>
  </si>
  <si>
    <t xml:space="preserve">Prueba completa con teclado (escritorio y menú móvil).</t>
  </si>
  <si>
    <t xml:space="preserve">Flujo de compra completo sin mouse; foco visible en todos los elementos.</t>
  </si>
  <si>
    <t xml:space="preserve">9 – Validación final</t>
  </si>
  <si>
    <t xml:space="preserve">Auditoría automática después de las correcciones.</t>
  </si>
  <si>
    <t xml:space="preserve">10 elementos pendientes, todos internos de WooCommerce.</t>
  </si>
  <si>
    <t xml:space="preserve">Nueva validación tras el cambio de paleta y tipografía del sitio.</t>
  </si>
  <si>
    <t xml:space="preserve">Contraste verificado con la paleta final; auditoría final: 5 elementos pendientes (internos de WooCommerce).</t>
  </si>
  <si>
    <t xml:space="preserve">Pendiente</t>
  </si>
  <si>
    <t xml:space="preserve">Checklist final de cumplimiento</t>
  </si>
  <si>
    <t xml:space="preserve">Avance:</t>
  </si>
  <si>
    <t xml:space="preserve">Bloque</t>
  </si>
  <si>
    <t xml:space="preserve">Tarea</t>
  </si>
  <si>
    <t xml:space="preserve">Arranque</t>
  </si>
  <si>
    <t xml:space="preserve">Tengo usuario en WordPress con permisos de edición</t>
  </si>
  <si>
    <t xml:space="preserve">Confirmé con el grupo: tema, paleta, 5 servicios, quién compila PDF y video, dónde va el checklist</t>
  </si>
  <si>
    <t xml:space="preserve">Cargué mis tareas en la herramienta colaborativa del grupo</t>
  </si>
  <si>
    <t xml:space="preserve">Compartí la guía de pautas de accesibilidad con el grupo</t>
  </si>
  <si>
    <t xml:space="preserve">Tareas del rol</t>
  </si>
  <si>
    <t xml:space="preserve">ALT en las imágenes de los servicios, logo e imágenes de páginas; decorativas vacías</t>
  </si>
  <si>
    <t xml:space="preserve">Contraste revisado: botones, precio, menú, hero, footer, formulario</t>
  </si>
  <si>
    <t xml:space="preserve">Encabezados: un H1 y H2/H3 en orden en páginas principales y fichas</t>
  </si>
  <si>
    <t xml:space="preserve">Contenido comprensible: párrafos cortos, listas, enlaces descriptivos</t>
  </si>
  <si>
    <t xml:space="preserve">Formulario con etiquetas visibles, obligatorios marcados y error legible</t>
  </si>
  <si>
    <t xml:space="preserve">Prueba de teclado completa (Inicio → Tienda → ficha → carrito → checkout → contacto)</t>
  </si>
  <si>
    <t xml:space="preserve">El feedback permite reportar problemas de accesibilidad (con Integración)</t>
  </si>
  <si>
    <t xml:space="preserve">Idioma Español, "Saltar al contenido" y foco visible</t>
  </si>
  <si>
    <t xml:space="preserve">Página "Accesibilidad" publicada y enlazada en el footer</t>
  </si>
  <si>
    <t xml:space="preserve">Zoom al 200% sin cortes y menú móvil con teclado</t>
  </si>
  <si>
    <t xml:space="preserve">Evidencias</t>
  </si>
  <si>
    <t xml:space="preserve">Capturas del "antes" (Lighthouse + WAVE)</t>
  </si>
  <si>
    <t xml:space="preserve">En curso</t>
  </si>
  <si>
    <t xml:space="preserve">Capturas de ALT, contraste, encabezados, formulario y foco, cada una con su frase</t>
  </si>
  <si>
    <t xml:space="preserve">Clip de la prueba de teclado</t>
  </si>
  <si>
    <t xml:space="preserve">Capturas del "después" y hoja Auditoría completa</t>
  </si>
  <si>
    <t xml:space="preserve">Hoja Checklist completa (sin Pendientes)</t>
  </si>
  <si>
    <t xml:space="preserve">Registro de trabajo actualizado</t>
  </si>
  <si>
    <t xml:space="preserve">Antes de terminar</t>
  </si>
  <si>
    <t xml:space="preserve">Validación final hecha sobre el sitio publicado</t>
  </si>
  <si>
    <t xml:space="preserve">WAVE con 0 errores rojos en las páginas auditadas</t>
  </si>
  <si>
    <t xml:space="preserve">Nadie cambió el diseño después de la validación (o volví a medir)</t>
  </si>
  <si>
    <t xml:space="preserve">Enlace al checklist público y probado en ventana de incógnito</t>
  </si>
  <si>
    <t xml:space="preserve">Entregado al grupo</t>
  </si>
  <si>
    <t xml:space="preserve">Guion de mi parte del video + clip de teclado</t>
  </si>
  <si>
    <t xml:space="preserve">Texto para la síntesis del proceso en el PDF (5–6 líneas)</t>
  </si>
  <si>
    <t xml:space="preserve">Mi reflexión individual</t>
  </si>
  <si>
    <t xml:space="preserve">Referencias APA 7 de accesibilidad</t>
  </si>
  <si>
    <t xml:space="preserve">Enlace al checklist completo</t>
  </si>
  <si>
    <t xml:space="preserve">Día anterior al cierre</t>
  </si>
  <si>
    <t xml:space="preserve">Sitio abierto en incógnito, en celular y computadora: funciona</t>
  </si>
  <si>
    <t xml:space="preserve">Prueba rápida de teclado y WAVE en el Inicio: ok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</si>
</sst>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EF2F7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FFF4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4C2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6" t="s">
        <v>4</v>
      </c>
      <c r="B5" s="7" t="s">
        <v>5</v>
      </c>
    </row>
    <row r="6" customFormat="false" ht="23.25" hidden="false" customHeight="true" outlineLevel="0" collapsed="false">
      <c r="A6" s="6" t="s">
        <v>6</v>
      </c>
      <c r="B6" s="7" t="s">
        <v>7</v>
      </c>
    </row>
    <row r="7" customFormat="false" ht="23.25" hidden="false" customHeight="true" outlineLevel="0" collapsed="false">
      <c r="A7" s="6" t="s">
        <v>8</v>
      </c>
      <c r="B7" s="7" t="s">
        <v>9</v>
      </c>
    </row>
    <row r="8" customFormat="false" ht="15" hidden="false" customHeight="true" outlineLevel="0" collapsed="false">
      <c r="A8" s="6" t="s">
        <v>10</v>
      </c>
      <c r="B8" s="7" t="s">
        <v>11</v>
      </c>
    </row>
    <row r="9" customFormat="false" ht="15" hidden="false" customHeight="true" outlineLevel="0" collapsed="false">
      <c r="A9" s="6"/>
      <c r="B9" s="7"/>
    </row>
    <row r="10" customFormat="false" ht="15" hidden="false" customHeight="true" outlineLevel="0" collapsed="false">
      <c r="A10" s="4" t="s">
        <v>12</v>
      </c>
      <c r="B10" s="7"/>
    </row>
    <row r="11" customFormat="false" ht="15" hidden="false" customHeight="true" outlineLevel="0" collapsed="false">
      <c r="A11" s="8" t="s">
        <v>13</v>
      </c>
      <c r="B11" s="9" t="s">
        <v>14</v>
      </c>
    </row>
    <row r="12" customFormat="false" ht="15" hidden="false" customHeight="true" outlineLevel="0" collapsed="false">
      <c r="A12" s="6" t="s">
        <v>15</v>
      </c>
      <c r="B12" s="7" t="s">
        <v>16</v>
      </c>
    </row>
    <row r="13" customFormat="false" ht="23.25" hidden="false" customHeight="true" outlineLevel="0" collapsed="false">
      <c r="A13" s="6" t="s">
        <v>17</v>
      </c>
      <c r="B13" s="7" t="s">
        <v>18</v>
      </c>
    </row>
    <row r="14" customFormat="false" ht="15" hidden="false" customHeight="true" outlineLevel="0" collapsed="false">
      <c r="A14" s="6" t="s">
        <v>19</v>
      </c>
      <c r="B14" s="7" t="s">
        <v>20</v>
      </c>
    </row>
    <row r="15" customFormat="false" ht="23.25" hidden="false" customHeight="true" outlineLevel="0" collapsed="false">
      <c r="A15" s="6" t="s">
        <v>21</v>
      </c>
      <c r="B15" s="7" t="s">
        <v>22</v>
      </c>
    </row>
    <row r="16" customFormat="false" ht="15" hidden="false" customHeight="true" outlineLevel="0" collapsed="false">
      <c r="A16" s="6" t="s">
        <v>23</v>
      </c>
      <c r="B16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46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26"/>
    <col collapsed="false" customWidth="true" hidden="false" outlineLevel="0" max="10" min="10" style="1" width="44"/>
    <col collapsed="false" customWidth="true" hidden="false" outlineLevel="0" max="11" min="11" style="1" width="12"/>
    <col collapsed="false" customWidth="true" hidden="false" outlineLevel="0" max="12" min="12" style="1" width="34"/>
  </cols>
  <sheetData>
    <row r="1" customFormat="false" ht="17.25" hidden="false" customHeight="true" outlineLevel="0" collapsed="false">
      <c r="A1" s="2" t="s">
        <v>25</v>
      </c>
    </row>
    <row r="2" customFormat="false" ht="15" hidden="false" customHeight="true" outlineLevel="0" collapsed="false">
      <c r="A2" s="6" t="s">
        <v>26</v>
      </c>
      <c r="B2" s="10" t="s">
        <v>27</v>
      </c>
      <c r="C2" s="10"/>
      <c r="D2" s="10"/>
    </row>
    <row r="4" customFormat="false" ht="15" hidden="false" customHeight="true" outlineLevel="0" collapsed="false">
      <c r="A4" s="6" t="s">
        <v>28</v>
      </c>
    </row>
    <row r="5" customFormat="false" ht="15" hidden="false" customHeight="true" outlineLevel="0" collapsed="false">
      <c r="B5" s="3" t="s">
        <v>29</v>
      </c>
      <c r="C5" s="11" t="n">
        <f aca="false">COUNTIFS(D10:D29,"Consigna",H10:H29,"Cumple")+COUNTIFS(D10:D29,"Consigna",H10:H29,"Corregido")</f>
        <v>11</v>
      </c>
      <c r="D5" s="3" t="str">
        <f aca="false">"de "&amp;COUNTIF(D10:D29,"Consigna")</f>
        <v>de 11</v>
      </c>
    </row>
    <row r="6" customFormat="false" ht="15" hidden="false" customHeight="true" outlineLevel="0" collapsed="false">
      <c r="B6" s="3" t="s">
        <v>30</v>
      </c>
      <c r="C6" s="11" t="n">
        <f aca="false">COUNTIFS(D10:D29,"Recomendado",H10:H29,"Cumple")+COUNTIFS(D10:D29,"Recomendado",H10:H29,"Corregido")</f>
        <v>8</v>
      </c>
      <c r="D6" s="3" t="str">
        <f aca="false">"de "&amp;COUNTIF(D10:D29,"Recomendado")-COUNTIFS(D10:D29,"Recomendado",H10:H29,"No aplica")</f>
        <v>de 8</v>
      </c>
    </row>
    <row r="7" customFormat="false" ht="15" hidden="false" customHeight="true" outlineLevel="0" collapsed="false">
      <c r="B7" s="3" t="s">
        <v>31</v>
      </c>
      <c r="C7" s="11" t="n">
        <f aca="false">COUNTIF(H10:H29,"No cumple")</f>
        <v>0</v>
      </c>
    </row>
    <row r="8" customFormat="false" ht="15" hidden="false" customHeight="true" outlineLevel="0" collapsed="false">
      <c r="B8" s="3" t="s">
        <v>32</v>
      </c>
      <c r="C8" s="11" t="n">
        <f aca="false">COUNTIF(H10:H29,"Pendiente")</f>
        <v>0</v>
      </c>
    </row>
    <row r="9" customFormat="false" ht="30" hidden="false" customHeight="true" outlineLevel="0" collapsed="false">
      <c r="A9" s="12" t="s">
        <v>33</v>
      </c>
      <c r="B9" s="12" t="s">
        <v>34</v>
      </c>
      <c r="C9" s="12" t="s">
        <v>35</v>
      </c>
      <c r="D9" s="12" t="s">
        <v>36</v>
      </c>
      <c r="E9" s="12" t="s">
        <v>37</v>
      </c>
      <c r="F9" s="12" t="s">
        <v>38</v>
      </c>
      <c r="G9" s="12" t="s">
        <v>39</v>
      </c>
      <c r="H9" s="12" t="s">
        <v>40</v>
      </c>
      <c r="I9" s="12" t="s">
        <v>41</v>
      </c>
      <c r="J9" s="12" t="s">
        <v>21</v>
      </c>
      <c r="K9" s="12" t="s">
        <v>42</v>
      </c>
      <c r="L9" s="12" t="s">
        <v>43</v>
      </c>
    </row>
    <row r="10" customFormat="false" ht="34.5" hidden="false" customHeight="true" outlineLevel="0" collapsed="false">
      <c r="A10" s="13" t="n">
        <v>1</v>
      </c>
      <c r="B10" s="14" t="s">
        <v>44</v>
      </c>
      <c r="C10" s="14" t="s">
        <v>45</v>
      </c>
      <c r="D10" s="14" t="s">
        <v>46</v>
      </c>
      <c r="E10" s="14" t="s">
        <v>47</v>
      </c>
      <c r="F10" s="14" t="s">
        <v>48</v>
      </c>
      <c r="G10" s="14" t="s">
        <v>49</v>
      </c>
      <c r="H10" s="15" t="s">
        <v>50</v>
      </c>
      <c r="I10" s="15" t="s">
        <v>51</v>
      </c>
      <c r="J10" s="15" t="s">
        <v>52</v>
      </c>
      <c r="K10" s="16" t="n">
        <v>46314</v>
      </c>
      <c r="L10" s="15" t="s">
        <v>53</v>
      </c>
    </row>
    <row r="11" customFormat="false" ht="34.5" hidden="false" customHeight="true" outlineLevel="0" collapsed="false">
      <c r="A11" s="13" t="n">
        <v>2</v>
      </c>
      <c r="B11" s="14" t="s">
        <v>54</v>
      </c>
      <c r="C11" s="14" t="s">
        <v>55</v>
      </c>
      <c r="D11" s="14" t="s">
        <v>46</v>
      </c>
      <c r="E11" s="14" t="s">
        <v>56</v>
      </c>
      <c r="F11" s="14" t="s">
        <v>57</v>
      </c>
      <c r="G11" s="14" t="s">
        <v>58</v>
      </c>
      <c r="H11" s="15" t="s">
        <v>50</v>
      </c>
      <c r="I11" s="15" t="s">
        <v>59</v>
      </c>
      <c r="J11" s="15" t="s">
        <v>60</v>
      </c>
      <c r="K11" s="16" t="n">
        <v>46314</v>
      </c>
      <c r="L11" s="15" t="s">
        <v>61</v>
      </c>
    </row>
    <row r="12" customFormat="false" ht="23.25" hidden="false" customHeight="true" outlineLevel="0" collapsed="false">
      <c r="A12" s="13" t="n">
        <v>3</v>
      </c>
      <c r="B12" s="14" t="s">
        <v>62</v>
      </c>
      <c r="C12" s="14" t="s">
        <v>63</v>
      </c>
      <c r="D12" s="14" t="s">
        <v>46</v>
      </c>
      <c r="E12" s="14" t="s">
        <v>64</v>
      </c>
      <c r="F12" s="14" t="s">
        <v>65</v>
      </c>
      <c r="G12" s="14" t="s">
        <v>58</v>
      </c>
      <c r="H12" s="15" t="s">
        <v>66</v>
      </c>
      <c r="I12" s="15" t="s">
        <v>59</v>
      </c>
      <c r="J12" s="15" t="s">
        <v>67</v>
      </c>
      <c r="K12" s="16" t="n">
        <v>46314</v>
      </c>
      <c r="L12" s="15" t="s">
        <v>68</v>
      </c>
    </row>
    <row r="13" customFormat="false" ht="34.5" hidden="false" customHeight="true" outlineLevel="0" collapsed="false">
      <c r="A13" s="13" t="n">
        <v>4</v>
      </c>
      <c r="B13" s="14" t="s">
        <v>69</v>
      </c>
      <c r="C13" s="14" t="s">
        <v>70</v>
      </c>
      <c r="D13" s="14" t="s">
        <v>46</v>
      </c>
      <c r="E13" s="14" t="s">
        <v>71</v>
      </c>
      <c r="F13" s="14" t="s">
        <v>72</v>
      </c>
      <c r="G13" s="14" t="s">
        <v>73</v>
      </c>
      <c r="H13" s="15" t="s">
        <v>50</v>
      </c>
      <c r="I13" s="15" t="s">
        <v>74</v>
      </c>
      <c r="J13" s="15" t="s">
        <v>75</v>
      </c>
      <c r="K13" s="16" t="n">
        <v>46314</v>
      </c>
      <c r="L13" s="15" t="s">
        <v>76</v>
      </c>
    </row>
    <row r="14" customFormat="false" ht="23.25" hidden="false" customHeight="true" outlineLevel="0" collapsed="false">
      <c r="A14" s="13" t="n">
        <v>5</v>
      </c>
      <c r="B14" s="14" t="s">
        <v>77</v>
      </c>
      <c r="C14" s="14" t="s">
        <v>78</v>
      </c>
      <c r="D14" s="14" t="s">
        <v>46</v>
      </c>
      <c r="E14" s="14" t="s">
        <v>79</v>
      </c>
      <c r="F14" s="14" t="s">
        <v>72</v>
      </c>
      <c r="G14" s="14" t="s">
        <v>73</v>
      </c>
      <c r="H14" s="15" t="s">
        <v>50</v>
      </c>
      <c r="I14" s="15" t="s">
        <v>74</v>
      </c>
      <c r="J14" s="15" t="s">
        <v>80</v>
      </c>
      <c r="K14" s="16" t="n">
        <v>46314</v>
      </c>
      <c r="L14" s="15"/>
    </row>
    <row r="15" customFormat="false" ht="23.25" hidden="false" customHeight="true" outlineLevel="0" collapsed="false">
      <c r="A15" s="13" t="n">
        <v>6</v>
      </c>
      <c r="B15" s="14" t="s">
        <v>81</v>
      </c>
      <c r="C15" s="14" t="s">
        <v>82</v>
      </c>
      <c r="D15" s="14" t="s">
        <v>46</v>
      </c>
      <c r="E15" s="14" t="s">
        <v>83</v>
      </c>
      <c r="F15" s="14" t="s">
        <v>72</v>
      </c>
      <c r="G15" s="14" t="s">
        <v>73</v>
      </c>
      <c r="H15" s="15" t="s">
        <v>66</v>
      </c>
      <c r="I15" s="15" t="s">
        <v>84</v>
      </c>
      <c r="J15" s="15" t="s">
        <v>85</v>
      </c>
      <c r="K15" s="16" t="n">
        <v>46314</v>
      </c>
      <c r="L15" s="15" t="s">
        <v>86</v>
      </c>
    </row>
    <row r="16" customFormat="false" ht="23.25" hidden="false" customHeight="true" outlineLevel="0" collapsed="false">
      <c r="A16" s="13" t="n">
        <v>7</v>
      </c>
      <c r="B16" s="14" t="s">
        <v>87</v>
      </c>
      <c r="C16" s="14" t="s">
        <v>88</v>
      </c>
      <c r="D16" s="14" t="s">
        <v>46</v>
      </c>
      <c r="E16" s="14" t="s">
        <v>89</v>
      </c>
      <c r="F16" s="14" t="s">
        <v>90</v>
      </c>
      <c r="G16" s="14" t="s">
        <v>91</v>
      </c>
      <c r="H16" s="15" t="s">
        <v>50</v>
      </c>
      <c r="I16" s="15" t="s">
        <v>92</v>
      </c>
      <c r="J16" s="15" t="s">
        <v>93</v>
      </c>
      <c r="K16" s="16" t="n">
        <v>46314</v>
      </c>
      <c r="L16" s="15" t="s">
        <v>94</v>
      </c>
    </row>
    <row r="17" customFormat="false" ht="23.25" hidden="false" customHeight="true" outlineLevel="0" collapsed="false">
      <c r="A17" s="13" t="n">
        <v>8</v>
      </c>
      <c r="B17" s="14" t="s">
        <v>95</v>
      </c>
      <c r="C17" s="14" t="s">
        <v>96</v>
      </c>
      <c r="D17" s="14" t="s">
        <v>46</v>
      </c>
      <c r="E17" s="14" t="s">
        <v>97</v>
      </c>
      <c r="F17" s="14" t="s">
        <v>98</v>
      </c>
      <c r="G17" s="14" t="s">
        <v>99</v>
      </c>
      <c r="H17" s="15" t="s">
        <v>50</v>
      </c>
      <c r="I17" s="15" t="s">
        <v>100</v>
      </c>
      <c r="J17" s="15" t="s">
        <v>101</v>
      </c>
      <c r="K17" s="16" t="n">
        <v>46314</v>
      </c>
      <c r="L17" s="15" t="s">
        <v>102</v>
      </c>
    </row>
    <row r="18" customFormat="false" ht="23.25" hidden="false" customHeight="true" outlineLevel="0" collapsed="false">
      <c r="A18" s="13" t="n">
        <v>9</v>
      </c>
      <c r="B18" s="14" t="s">
        <v>103</v>
      </c>
      <c r="C18" s="14" t="s">
        <v>104</v>
      </c>
      <c r="D18" s="14" t="s">
        <v>46</v>
      </c>
      <c r="E18" s="14" t="s">
        <v>105</v>
      </c>
      <c r="F18" s="14" t="s">
        <v>106</v>
      </c>
      <c r="G18" s="14" t="s">
        <v>107</v>
      </c>
      <c r="H18" s="15" t="s">
        <v>50</v>
      </c>
      <c r="I18" s="15" t="s">
        <v>108</v>
      </c>
      <c r="J18" s="15" t="s">
        <v>109</v>
      </c>
      <c r="K18" s="16" t="n">
        <v>46314</v>
      </c>
      <c r="L18" s="15"/>
    </row>
    <row r="19" customFormat="false" ht="34.5" hidden="false" customHeight="true" outlineLevel="0" collapsed="false">
      <c r="A19" s="13" t="n">
        <v>10</v>
      </c>
      <c r="B19" s="14" t="s">
        <v>110</v>
      </c>
      <c r="C19" s="14" t="s">
        <v>111</v>
      </c>
      <c r="D19" s="14" t="s">
        <v>46</v>
      </c>
      <c r="E19" s="14" t="s">
        <v>112</v>
      </c>
      <c r="F19" s="14" t="s">
        <v>113</v>
      </c>
      <c r="G19" s="14" t="s">
        <v>107</v>
      </c>
      <c r="H19" s="15" t="s">
        <v>50</v>
      </c>
      <c r="I19" s="15" t="s">
        <v>92</v>
      </c>
      <c r="J19" s="15" t="s">
        <v>114</v>
      </c>
      <c r="K19" s="16" t="n">
        <v>46314</v>
      </c>
      <c r="L19" s="15" t="s">
        <v>115</v>
      </c>
    </row>
    <row r="20" customFormat="false" ht="23.25" hidden="false" customHeight="true" outlineLevel="0" collapsed="false">
      <c r="A20" s="13" t="n">
        <v>11</v>
      </c>
      <c r="B20" s="14" t="s">
        <v>116</v>
      </c>
      <c r="C20" s="14" t="s">
        <v>111</v>
      </c>
      <c r="D20" s="14" t="s">
        <v>46</v>
      </c>
      <c r="E20" s="14" t="s">
        <v>117</v>
      </c>
      <c r="F20" s="14" t="s">
        <v>118</v>
      </c>
      <c r="G20" s="14" t="s">
        <v>119</v>
      </c>
      <c r="H20" s="15" t="s">
        <v>50</v>
      </c>
      <c r="I20" s="15" t="s">
        <v>120</v>
      </c>
      <c r="J20" s="15" t="s">
        <v>121</v>
      </c>
      <c r="K20" s="16" t="n">
        <v>46314</v>
      </c>
      <c r="L20" s="15" t="s">
        <v>122</v>
      </c>
    </row>
    <row r="21" customFormat="false" ht="15" hidden="false" customHeight="true" outlineLevel="0" collapsed="false">
      <c r="A21" s="13" t="n">
        <v>12</v>
      </c>
      <c r="B21" s="14" t="s">
        <v>123</v>
      </c>
      <c r="C21" s="14" t="s">
        <v>124</v>
      </c>
      <c r="D21" s="14" t="s">
        <v>125</v>
      </c>
      <c r="E21" s="14" t="s">
        <v>126</v>
      </c>
      <c r="F21" s="14" t="s">
        <v>113</v>
      </c>
      <c r="G21" s="14" t="s">
        <v>73</v>
      </c>
      <c r="H21" s="15" t="s">
        <v>66</v>
      </c>
      <c r="I21" s="15" t="s">
        <v>127</v>
      </c>
      <c r="J21" s="15" t="s">
        <v>128</v>
      </c>
      <c r="K21" s="16" t="n">
        <v>46314</v>
      </c>
      <c r="L21" s="15" t="s">
        <v>129</v>
      </c>
    </row>
    <row r="22" customFormat="false" ht="15" hidden="false" customHeight="true" outlineLevel="0" collapsed="false">
      <c r="A22" s="13" t="n">
        <v>13</v>
      </c>
      <c r="B22" s="14" t="s">
        <v>130</v>
      </c>
      <c r="C22" s="14" t="s">
        <v>131</v>
      </c>
      <c r="D22" s="14" t="s">
        <v>125</v>
      </c>
      <c r="E22" s="14" t="s">
        <v>132</v>
      </c>
      <c r="F22" s="14" t="s">
        <v>113</v>
      </c>
      <c r="G22" s="14" t="s">
        <v>107</v>
      </c>
      <c r="H22" s="15" t="s">
        <v>50</v>
      </c>
      <c r="I22" s="15" t="s">
        <v>92</v>
      </c>
      <c r="J22" s="15" t="s">
        <v>133</v>
      </c>
      <c r="K22" s="16" t="n">
        <v>46314</v>
      </c>
      <c r="L22" s="15"/>
    </row>
    <row r="23" customFormat="false" ht="15" hidden="false" customHeight="true" outlineLevel="0" collapsed="false">
      <c r="A23" s="13" t="n">
        <v>14</v>
      </c>
      <c r="B23" s="14" t="s">
        <v>134</v>
      </c>
      <c r="C23" s="14" t="s">
        <v>135</v>
      </c>
      <c r="D23" s="14" t="s">
        <v>125</v>
      </c>
      <c r="E23" s="14" t="s">
        <v>136</v>
      </c>
      <c r="F23" s="14" t="s">
        <v>57</v>
      </c>
      <c r="G23" s="14" t="s">
        <v>107</v>
      </c>
      <c r="H23" s="15" t="s">
        <v>50</v>
      </c>
      <c r="I23" s="15" t="s">
        <v>137</v>
      </c>
      <c r="J23" s="15" t="s">
        <v>138</v>
      </c>
      <c r="K23" s="16" t="n">
        <v>46314</v>
      </c>
      <c r="L23" s="15" t="s">
        <v>139</v>
      </c>
    </row>
    <row r="24" customFormat="false" ht="23.25" hidden="false" customHeight="true" outlineLevel="0" collapsed="false">
      <c r="A24" s="13" t="n">
        <v>15</v>
      </c>
      <c r="B24" s="14" t="s">
        <v>140</v>
      </c>
      <c r="C24" s="14" t="s">
        <v>141</v>
      </c>
      <c r="D24" s="14" t="s">
        <v>125</v>
      </c>
      <c r="E24" s="14" t="s">
        <v>142</v>
      </c>
      <c r="F24" s="14" t="s">
        <v>143</v>
      </c>
      <c r="G24" s="14" t="s">
        <v>73</v>
      </c>
      <c r="H24" s="15" t="s">
        <v>66</v>
      </c>
      <c r="I24" s="15" t="s">
        <v>144</v>
      </c>
      <c r="J24" s="15" t="s">
        <v>145</v>
      </c>
      <c r="K24" s="16" t="n">
        <v>46314</v>
      </c>
      <c r="L24" s="15" t="s">
        <v>146</v>
      </c>
    </row>
    <row r="25" customFormat="false" ht="15" hidden="false" customHeight="true" outlineLevel="0" collapsed="false">
      <c r="A25" s="13" t="n">
        <v>16</v>
      </c>
      <c r="B25" s="14" t="s">
        <v>147</v>
      </c>
      <c r="C25" s="14" t="s">
        <v>148</v>
      </c>
      <c r="D25" s="14" t="s">
        <v>125</v>
      </c>
      <c r="E25" s="14" t="s">
        <v>149</v>
      </c>
      <c r="F25" s="14" t="s">
        <v>72</v>
      </c>
      <c r="G25" s="14" t="s">
        <v>150</v>
      </c>
      <c r="H25" s="15" t="s">
        <v>50</v>
      </c>
      <c r="I25" s="15" t="s">
        <v>120</v>
      </c>
      <c r="J25" s="15" t="s">
        <v>151</v>
      </c>
      <c r="K25" s="16" t="n">
        <v>46314</v>
      </c>
      <c r="L25" s="15"/>
    </row>
    <row r="26" customFormat="false" ht="23.25" hidden="false" customHeight="true" outlineLevel="0" collapsed="false">
      <c r="A26" s="13" t="n">
        <v>17</v>
      </c>
      <c r="B26" s="14" t="s">
        <v>152</v>
      </c>
      <c r="C26" s="14" t="s">
        <v>153</v>
      </c>
      <c r="D26" s="14" t="s">
        <v>125</v>
      </c>
      <c r="E26" s="14" t="s">
        <v>154</v>
      </c>
      <c r="F26" s="14" t="s">
        <v>57</v>
      </c>
      <c r="G26" s="14" t="s">
        <v>155</v>
      </c>
      <c r="H26" s="15" t="s">
        <v>50</v>
      </c>
      <c r="I26" s="15" t="s">
        <v>108</v>
      </c>
      <c r="J26" s="15" t="s">
        <v>156</v>
      </c>
      <c r="K26" s="16" t="n">
        <v>46314</v>
      </c>
      <c r="L26" s="15" t="s">
        <v>157</v>
      </c>
    </row>
    <row r="27" customFormat="false" ht="23.25" hidden="false" customHeight="true" outlineLevel="0" collapsed="false">
      <c r="A27" s="13" t="n">
        <v>18</v>
      </c>
      <c r="B27" s="14" t="s">
        <v>158</v>
      </c>
      <c r="C27" s="14" t="s">
        <v>70</v>
      </c>
      <c r="D27" s="14" t="s">
        <v>125</v>
      </c>
      <c r="E27" s="14" t="s">
        <v>159</v>
      </c>
      <c r="F27" s="14" t="s">
        <v>160</v>
      </c>
      <c r="G27" s="14" t="s">
        <v>161</v>
      </c>
      <c r="H27" s="15" t="s">
        <v>50</v>
      </c>
      <c r="I27" s="15" t="s">
        <v>162</v>
      </c>
      <c r="J27" s="15" t="s">
        <v>163</v>
      </c>
      <c r="K27" s="16" t="n">
        <v>46314</v>
      </c>
      <c r="L27" s="15" t="s">
        <v>164</v>
      </c>
    </row>
    <row r="28" customFormat="false" ht="23.25" hidden="false" customHeight="true" outlineLevel="0" collapsed="false">
      <c r="A28" s="13" t="n">
        <v>19</v>
      </c>
      <c r="B28" s="14" t="s">
        <v>165</v>
      </c>
      <c r="C28" s="14" t="s">
        <v>166</v>
      </c>
      <c r="D28" s="14" t="s">
        <v>125</v>
      </c>
      <c r="E28" s="14" t="s">
        <v>167</v>
      </c>
      <c r="F28" s="14" t="s">
        <v>168</v>
      </c>
      <c r="G28" s="14" t="s">
        <v>169</v>
      </c>
      <c r="H28" s="15" t="s">
        <v>66</v>
      </c>
      <c r="I28" s="15" t="s">
        <v>170</v>
      </c>
      <c r="J28" s="15" t="s">
        <v>167</v>
      </c>
      <c r="K28" s="16" t="n">
        <v>46314</v>
      </c>
      <c r="L28" s="15" t="s">
        <v>171</v>
      </c>
    </row>
    <row r="29" customFormat="false" ht="23.25" hidden="false" customHeight="true" outlineLevel="0" collapsed="false">
      <c r="A29" s="13" t="n">
        <v>20</v>
      </c>
      <c r="B29" s="14" t="s">
        <v>172</v>
      </c>
      <c r="C29" s="14" t="s">
        <v>173</v>
      </c>
      <c r="D29" s="14" t="s">
        <v>125</v>
      </c>
      <c r="E29" s="14" t="s">
        <v>174</v>
      </c>
      <c r="F29" s="14" t="s">
        <v>143</v>
      </c>
      <c r="G29" s="14" t="s">
        <v>107</v>
      </c>
      <c r="H29" s="15" t="s">
        <v>175</v>
      </c>
      <c r="I29" s="15"/>
      <c r="J29" s="15" t="s">
        <v>176</v>
      </c>
      <c r="K29" s="16" t="n">
        <v>46314</v>
      </c>
      <c r="L29" s="15"/>
    </row>
  </sheetData>
  <autoFilter ref="A9:L29"/>
  <mergeCells count="1">
    <mergeCell ref="B2:D2"/>
  </mergeCells>
  <conditionalFormatting sqref="H10:H29">
    <cfRule type="cellIs" priority="2" operator="equal" aboveAverage="0" equalAverage="0" bottom="0" percent="0" rank="0" text="" dxfId="5">
      <formula>"Cumple"</formula>
    </cfRule>
    <cfRule type="cellIs" priority="3" operator="equal" aboveAverage="0" equalAverage="0" bottom="0" percent="0" rank="0" text="" dxfId="6">
      <formula>"No cumple"</formula>
    </cfRule>
    <cfRule type="cellIs" priority="4" operator="equal" aboveAverage="0" equalAverage="0" bottom="0" percent="0" rank="0" text="" dxfId="7">
      <formula>"Pendiente"</formula>
    </cfRule>
    <cfRule type="cellIs" priority="5" operator="equal" aboveAverage="0" equalAverage="0" bottom="0" percent="0" rank="0" text="" dxfId="5">
      <formula>"Corregido"</formula>
    </cfRule>
  </conditionalFormatting>
  <dataValidations count="2">
    <dataValidation allowBlank="true" errorStyle="stop" operator="between" showDropDown="false" showErrorMessage="false" showInputMessage="false" sqref="H10:H29" type="list">
      <formula1>"Pendiente,Cumple,No cumple,Corregido,No aplica"</formula1>
      <formula2>0</formula2>
    </dataValidation>
    <dataValidation allowBlank="false" errorStyle="stop" operator="between" showDropDown="false" showErrorMessage="false" showInputMessage="false" sqref="D10:D29" type="list">
      <formula1>"Consigna,Recomendado"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4"/>
    <col collapsed="false" customWidth="true" hidden="false" outlineLevel="0" max="5" min="3" style="1" width="13"/>
    <col collapsed="false" customWidth="true" hidden="false" outlineLevel="0" max="9" min="6" style="1" width="12"/>
    <col collapsed="false" customWidth="true" hidden="false" outlineLevel="0" max="11" min="10" style="1" width="28"/>
  </cols>
  <sheetData>
    <row r="1" customFormat="false" ht="17.25" hidden="false" customHeight="true" outlineLevel="0" collapsed="false">
      <c r="A1" s="2" t="s">
        <v>177</v>
      </c>
    </row>
    <row r="2" customFormat="false" ht="15" hidden="false" customHeight="true" outlineLevel="0" collapsed="false">
      <c r="A2" s="3" t="s">
        <v>178</v>
      </c>
    </row>
    <row r="3" customFormat="false" ht="15" hidden="false" customHeight="true" outlineLevel="0" collapsed="false">
      <c r="A3" s="6" t="s">
        <v>179</v>
      </c>
      <c r="C3" s="17" t="n">
        <v>46314</v>
      </c>
    </row>
    <row r="4" customFormat="false" ht="15" hidden="false" customHeight="true" outlineLevel="0" collapsed="false">
      <c r="A4" s="6" t="s">
        <v>180</v>
      </c>
      <c r="C4" s="17" t="n">
        <v>46314</v>
      </c>
    </row>
    <row r="6" customFormat="false" ht="30" hidden="false" customHeight="true" outlineLevel="0" collapsed="false">
      <c r="A6" s="12" t="s">
        <v>181</v>
      </c>
      <c r="B6" s="12" t="s">
        <v>182</v>
      </c>
      <c r="C6" s="12" t="s">
        <v>183</v>
      </c>
      <c r="D6" s="12" t="s">
        <v>184</v>
      </c>
      <c r="E6" s="12" t="s">
        <v>185</v>
      </c>
      <c r="F6" s="12" t="s">
        <v>186</v>
      </c>
      <c r="G6" s="12" t="s">
        <v>187</v>
      </c>
      <c r="H6" s="12" t="s">
        <v>188</v>
      </c>
      <c r="I6" s="12" t="s">
        <v>189</v>
      </c>
      <c r="J6" s="12" t="s">
        <v>190</v>
      </c>
      <c r="K6" s="12" t="s">
        <v>191</v>
      </c>
    </row>
    <row r="7" customFormat="false" ht="15" hidden="false" customHeight="true" outlineLevel="0" collapsed="false">
      <c r="A7" s="15" t="s">
        <v>143</v>
      </c>
      <c r="B7" s="15" t="s">
        <v>192</v>
      </c>
      <c r="C7" s="15" t="n">
        <v>4</v>
      </c>
      <c r="D7" s="15" t="n">
        <v>0</v>
      </c>
      <c r="E7" s="18" t="n">
        <f aca="false">IF(OR(C7="",D7=""),"",C7-D7)</f>
        <v>4</v>
      </c>
      <c r="F7" s="15"/>
      <c r="G7" s="15"/>
      <c r="H7" s="15"/>
      <c r="I7" s="15"/>
      <c r="J7" s="15" t="s">
        <v>120</v>
      </c>
      <c r="K7" s="15" t="s">
        <v>108</v>
      </c>
    </row>
    <row r="8" customFormat="false" ht="15" hidden="false" customHeight="true" outlineLevel="0" collapsed="false">
      <c r="A8" s="15" t="s">
        <v>193</v>
      </c>
      <c r="B8" s="15" t="s">
        <v>194</v>
      </c>
      <c r="C8" s="15" t="n">
        <v>12</v>
      </c>
      <c r="D8" s="15" t="n">
        <v>0</v>
      </c>
      <c r="E8" s="18" t="n">
        <f aca="false">IF(OR(C8="",D8=""),"",C8-D8)</f>
        <v>12</v>
      </c>
      <c r="F8" s="15"/>
      <c r="G8" s="15"/>
      <c r="H8" s="15"/>
      <c r="I8" s="15"/>
      <c r="J8" s="15" t="s">
        <v>120</v>
      </c>
      <c r="K8" s="15" t="s">
        <v>108</v>
      </c>
    </row>
    <row r="9" customFormat="false" ht="15" hidden="false" customHeight="true" outlineLevel="0" collapsed="false">
      <c r="A9" s="15" t="s">
        <v>195</v>
      </c>
      <c r="B9" s="15" t="s">
        <v>196</v>
      </c>
      <c r="C9" s="15" t="n">
        <v>5</v>
      </c>
      <c r="D9" s="15" t="n">
        <v>2</v>
      </c>
      <c r="E9" s="18" t="n">
        <f aca="false">IF(OR(C9="",D9=""),"",C9-D9)</f>
        <v>3</v>
      </c>
      <c r="F9" s="15"/>
      <c r="G9" s="15"/>
      <c r="H9" s="15"/>
      <c r="I9" s="15"/>
      <c r="J9" s="15" t="s">
        <v>120</v>
      </c>
      <c r="K9" s="15" t="s">
        <v>108</v>
      </c>
    </row>
    <row r="10" customFormat="false" ht="15" hidden="false" customHeight="true" outlineLevel="0" collapsed="false">
      <c r="A10" s="15" t="s">
        <v>113</v>
      </c>
      <c r="B10" s="15" t="s">
        <v>197</v>
      </c>
      <c r="C10" s="15" t="n">
        <v>4</v>
      </c>
      <c r="D10" s="15" t="n">
        <v>0</v>
      </c>
      <c r="E10" s="18" t="n">
        <f aca="false">IF(OR(C10="",D10=""),"",C10-D10)</f>
        <v>4</v>
      </c>
      <c r="F10" s="15"/>
      <c r="G10" s="15"/>
      <c r="H10" s="15"/>
      <c r="I10" s="15"/>
      <c r="J10" s="15" t="s">
        <v>120</v>
      </c>
      <c r="K10" s="15" t="s">
        <v>108</v>
      </c>
    </row>
    <row r="11" customFormat="false" ht="23.25" hidden="false" customHeight="true" outlineLevel="0" collapsed="false">
      <c r="A11" s="15" t="s">
        <v>198</v>
      </c>
      <c r="B11" s="15" t="s">
        <v>199</v>
      </c>
      <c r="C11" s="15" t="n">
        <v>4</v>
      </c>
      <c r="D11" s="15" t="n">
        <v>0</v>
      </c>
      <c r="E11" s="18" t="n">
        <f aca="false">IF(OR(C11="",D11=""),"",C11-D11)</f>
        <v>4</v>
      </c>
      <c r="F11" s="15"/>
      <c r="G11" s="15"/>
      <c r="H11" s="15"/>
      <c r="I11" s="15"/>
      <c r="J11" s="15" t="s">
        <v>120</v>
      </c>
      <c r="K11" s="15" t="s">
        <v>108</v>
      </c>
    </row>
    <row r="12" customFormat="false" ht="15" hidden="false" customHeight="true" outlineLevel="0" collapsed="false">
      <c r="A12" s="19" t="s">
        <v>200</v>
      </c>
      <c r="B12" s="19"/>
      <c r="C12" s="20" t="n">
        <f aca="false">SUM(C7:C11)</f>
        <v>29</v>
      </c>
      <c r="D12" s="20" t="n">
        <f aca="false">SUM(D7:D11)</f>
        <v>2</v>
      </c>
      <c r="E12" s="20" t="n">
        <f aca="false">IF(OR(C12="",D12=""),"",C12-D12)</f>
        <v>27</v>
      </c>
      <c r="F12" s="19" t="n">
        <f aca="false">SUM(F7:F11)</f>
        <v>0</v>
      </c>
      <c r="G12" s="19" t="n">
        <f aca="false">SUM(G7:G11)</f>
        <v>0</v>
      </c>
      <c r="H12" s="19" t="n">
        <f aca="false">SUM(H7:H11)</f>
        <v>0</v>
      </c>
      <c r="I12" s="19" t="n">
        <f aca="false">SUM(I7:I11)</f>
        <v>0</v>
      </c>
      <c r="J12" s="19"/>
      <c r="K12" s="19"/>
    </row>
    <row r="14" customFormat="false" ht="15" hidden="false" customHeight="true" outlineLevel="0" collapsed="false">
      <c r="A14" s="2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36"/>
    <col collapsed="false" customWidth="true" hidden="false" outlineLevel="0" max="5" min="5" style="1" width="22"/>
    <col collapsed="false" customWidth="true" hidden="false" outlineLevel="0" max="6" min="6" style="1" width="40"/>
    <col collapsed="false" customWidth="true" hidden="false" outlineLevel="0" max="7" min="7" style="1" width="13"/>
  </cols>
  <sheetData>
    <row r="1" customFormat="false" ht="17.25" hidden="false" customHeight="true" outlineLevel="0" collapsed="false">
      <c r="A1" s="2" t="s">
        <v>202</v>
      </c>
    </row>
    <row r="2" customFormat="false" ht="15" hidden="false" customHeight="true" outlineLevel="0" collapsed="false">
      <c r="A2" s="3" t="s">
        <v>203</v>
      </c>
    </row>
    <row r="4" customFormat="false" ht="30" hidden="false" customHeight="true" outlineLevel="0" collapsed="false">
      <c r="A4" s="12" t="s">
        <v>42</v>
      </c>
      <c r="B4" s="12" t="s">
        <v>204</v>
      </c>
      <c r="C4" s="12" t="s">
        <v>205</v>
      </c>
      <c r="D4" s="12" t="s">
        <v>40</v>
      </c>
      <c r="E4" s="12" t="s">
        <v>206</v>
      </c>
      <c r="F4" s="12" t="s">
        <v>207</v>
      </c>
      <c r="G4" s="12" t="s">
        <v>208</v>
      </c>
    </row>
    <row r="5" customFormat="false" ht="23.25" hidden="false" customHeight="true" outlineLevel="0" collapsed="false">
      <c r="A5" s="22" t="n">
        <v>46314</v>
      </c>
      <c r="B5" s="14" t="s">
        <v>209</v>
      </c>
      <c r="C5" s="14" t="s">
        <v>210</v>
      </c>
      <c r="D5" s="14" t="s">
        <v>211</v>
      </c>
      <c r="E5" s="14" t="s">
        <v>212</v>
      </c>
      <c r="F5" s="14" t="s">
        <v>213</v>
      </c>
      <c r="G5" s="14" t="s">
        <v>214</v>
      </c>
    </row>
    <row r="6" customFormat="false" ht="15" hidden="false" customHeight="true" outlineLevel="0" collapsed="false">
      <c r="A6" s="16" t="n">
        <v>46314</v>
      </c>
      <c r="B6" s="15" t="s">
        <v>215</v>
      </c>
      <c r="C6" s="15" t="s">
        <v>216</v>
      </c>
      <c r="D6" s="15" t="s">
        <v>217</v>
      </c>
      <c r="E6" s="15" t="s">
        <v>212</v>
      </c>
      <c r="F6" s="15" t="s">
        <v>218</v>
      </c>
      <c r="G6" s="15" t="s">
        <v>214</v>
      </c>
    </row>
    <row r="7" customFormat="false" ht="15" hidden="false" customHeight="true" outlineLevel="0" collapsed="false">
      <c r="A7" s="16" t="n">
        <v>46314</v>
      </c>
      <c r="B7" s="15" t="s">
        <v>219</v>
      </c>
      <c r="C7" s="15" t="s">
        <v>220</v>
      </c>
      <c r="D7" s="15" t="s">
        <v>221</v>
      </c>
      <c r="E7" s="15" t="s">
        <v>222</v>
      </c>
      <c r="F7" s="15" t="s">
        <v>223</v>
      </c>
      <c r="G7" s="15" t="s">
        <v>214</v>
      </c>
    </row>
    <row r="8" customFormat="false" ht="15" hidden="false" customHeight="true" outlineLevel="0" collapsed="false">
      <c r="A8" s="16" t="n">
        <v>46314</v>
      </c>
      <c r="B8" s="15" t="s">
        <v>224</v>
      </c>
      <c r="C8" s="15" t="s">
        <v>225</v>
      </c>
      <c r="D8" s="15" t="s">
        <v>226</v>
      </c>
      <c r="E8" s="15" t="s">
        <v>227</v>
      </c>
      <c r="F8" s="15" t="s">
        <v>59</v>
      </c>
      <c r="G8" s="15" t="s">
        <v>214</v>
      </c>
    </row>
    <row r="9" customFormat="false" ht="15" hidden="false" customHeight="true" outlineLevel="0" collapsed="false">
      <c r="A9" s="16" t="n">
        <v>46314</v>
      </c>
      <c r="B9" s="15" t="s">
        <v>228</v>
      </c>
      <c r="C9" s="15" t="s">
        <v>229</v>
      </c>
      <c r="D9" s="15" t="s">
        <v>230</v>
      </c>
      <c r="E9" s="15" t="s">
        <v>231</v>
      </c>
      <c r="F9" s="15" t="s">
        <v>232</v>
      </c>
      <c r="G9" s="15" t="s">
        <v>214</v>
      </c>
    </row>
    <row r="10" customFormat="false" ht="15" hidden="false" customHeight="true" outlineLevel="0" collapsed="false">
      <c r="A10" s="16" t="n">
        <v>46314</v>
      </c>
      <c r="B10" s="15" t="s">
        <v>233</v>
      </c>
      <c r="C10" s="15" t="s">
        <v>234</v>
      </c>
      <c r="D10" s="15" t="s">
        <v>235</v>
      </c>
      <c r="E10" s="15" t="s">
        <v>236</v>
      </c>
      <c r="F10" s="15" t="s">
        <v>237</v>
      </c>
      <c r="G10" s="15" t="s">
        <v>214</v>
      </c>
    </row>
    <row r="11" customFormat="false" ht="15" hidden="false" customHeight="true" outlineLevel="0" collapsed="false">
      <c r="A11" s="16" t="n">
        <v>46314</v>
      </c>
      <c r="B11" s="15" t="s">
        <v>238</v>
      </c>
      <c r="C11" s="15" t="s">
        <v>239</v>
      </c>
      <c r="D11" s="15" t="s">
        <v>240</v>
      </c>
      <c r="E11" s="15" t="s">
        <v>227</v>
      </c>
      <c r="F11" s="15" t="s">
        <v>74</v>
      </c>
      <c r="G11" s="15" t="s">
        <v>214</v>
      </c>
    </row>
    <row r="12" customFormat="false" ht="15" hidden="false" customHeight="true" outlineLevel="0" collapsed="false">
      <c r="A12" s="16" t="n">
        <v>46314</v>
      </c>
      <c r="B12" s="15" t="s">
        <v>241</v>
      </c>
      <c r="C12" s="15" t="s">
        <v>242</v>
      </c>
      <c r="D12" s="15" t="s">
        <v>243</v>
      </c>
      <c r="E12" s="15" t="s">
        <v>212</v>
      </c>
      <c r="F12" s="15" t="s">
        <v>120</v>
      </c>
      <c r="G12" s="15" t="s">
        <v>214</v>
      </c>
    </row>
    <row r="13" customFormat="false" ht="15" hidden="false" customHeight="true" outlineLevel="0" collapsed="false">
      <c r="A13" s="16" t="n">
        <v>46314</v>
      </c>
      <c r="B13" s="15" t="s">
        <v>241</v>
      </c>
      <c r="C13" s="15" t="s">
        <v>244</v>
      </c>
      <c r="D13" s="15" t="s">
        <v>245</v>
      </c>
      <c r="E13" s="15" t="s">
        <v>227</v>
      </c>
      <c r="F13" s="15" t="s">
        <v>59</v>
      </c>
      <c r="G13" s="15" t="s">
        <v>214</v>
      </c>
    </row>
    <row r="14" customFormat="false" ht="15" hidden="false" customHeight="true" outlineLevel="0" collapsed="false">
      <c r="A14" s="16"/>
      <c r="B14" s="15"/>
      <c r="C14" s="15"/>
      <c r="D14" s="15"/>
      <c r="E14" s="15"/>
      <c r="F14" s="15"/>
      <c r="G14" s="15" t="s">
        <v>246</v>
      </c>
    </row>
    <row r="15" customFormat="false" ht="15" hidden="false" customHeight="true" outlineLevel="0" collapsed="false">
      <c r="A15" s="16"/>
      <c r="B15" s="15"/>
      <c r="C15" s="15"/>
      <c r="D15" s="15"/>
      <c r="E15" s="15"/>
      <c r="F15" s="15"/>
      <c r="G15" s="15" t="s">
        <v>246</v>
      </c>
    </row>
    <row r="16" customFormat="false" ht="15" hidden="false" customHeight="true" outlineLevel="0" collapsed="false">
      <c r="A16" s="16"/>
      <c r="B16" s="15"/>
      <c r="C16" s="15"/>
      <c r="D16" s="15"/>
      <c r="E16" s="15"/>
      <c r="F16" s="15"/>
      <c r="G16" s="15" t="s">
        <v>246</v>
      </c>
    </row>
    <row r="17" customFormat="false" ht="15" hidden="false" customHeight="true" outlineLevel="0" collapsed="false">
      <c r="A17" s="16"/>
      <c r="B17" s="15"/>
      <c r="C17" s="15"/>
      <c r="D17" s="15"/>
      <c r="E17" s="15"/>
      <c r="F17" s="15"/>
      <c r="G17" s="15" t="s">
        <v>246</v>
      </c>
    </row>
    <row r="18" customFormat="false" ht="15" hidden="false" customHeight="true" outlineLevel="0" collapsed="false">
      <c r="A18" s="16"/>
      <c r="B18" s="15"/>
      <c r="C18" s="15"/>
      <c r="D18" s="15"/>
      <c r="E18" s="15"/>
      <c r="F18" s="15"/>
      <c r="G18" s="15" t="s">
        <v>246</v>
      </c>
    </row>
    <row r="19" customFormat="false" ht="15" hidden="false" customHeight="true" outlineLevel="0" collapsed="false">
      <c r="A19" s="16"/>
      <c r="B19" s="15"/>
      <c r="C19" s="15"/>
      <c r="D19" s="15"/>
      <c r="E19" s="15"/>
      <c r="F19" s="15"/>
      <c r="G19" s="15" t="s">
        <v>246</v>
      </c>
    </row>
    <row r="20" customFormat="false" ht="15" hidden="false" customHeight="true" outlineLevel="0" collapsed="false">
      <c r="A20" s="16"/>
      <c r="B20" s="15"/>
      <c r="C20" s="15"/>
      <c r="D20" s="15"/>
      <c r="E20" s="15"/>
      <c r="F20" s="15"/>
      <c r="G20" s="15" t="s">
        <v>246</v>
      </c>
    </row>
    <row r="21" customFormat="false" ht="15" hidden="false" customHeight="true" outlineLevel="0" collapsed="false">
      <c r="A21" s="16"/>
      <c r="B21" s="15"/>
      <c r="C21" s="15"/>
      <c r="D21" s="15"/>
      <c r="E21" s="15"/>
      <c r="F21" s="15"/>
      <c r="G21" s="15" t="s">
        <v>246</v>
      </c>
    </row>
    <row r="22" customFormat="false" ht="15" hidden="false" customHeight="true" outlineLevel="0" collapsed="false">
      <c r="A22" s="16"/>
      <c r="B22" s="15"/>
      <c r="C22" s="15"/>
      <c r="D22" s="15"/>
      <c r="E22" s="15"/>
      <c r="F22" s="15"/>
      <c r="G22" s="15" t="s">
        <v>246</v>
      </c>
    </row>
    <row r="23" customFormat="false" ht="15" hidden="false" customHeight="true" outlineLevel="0" collapsed="false">
      <c r="A23" s="16"/>
      <c r="B23" s="15"/>
      <c r="C23" s="15"/>
      <c r="D23" s="15"/>
      <c r="E23" s="15"/>
      <c r="F23" s="15"/>
      <c r="G23" s="15" t="s">
        <v>246</v>
      </c>
    </row>
    <row r="24" customFormat="false" ht="15" hidden="false" customHeight="true" outlineLevel="0" collapsed="false">
      <c r="A24" s="16"/>
      <c r="B24" s="15"/>
      <c r="C24" s="15"/>
      <c r="D24" s="15"/>
      <c r="E24" s="15"/>
      <c r="F24" s="15"/>
      <c r="G24" s="15" t="s">
        <v>246</v>
      </c>
    </row>
    <row r="25" customFormat="false" ht="15" hidden="false" customHeight="true" outlineLevel="0" collapsed="false">
      <c r="A25" s="16"/>
      <c r="B25" s="15"/>
      <c r="C25" s="15"/>
      <c r="D25" s="15"/>
      <c r="E25" s="15"/>
      <c r="F25" s="15"/>
      <c r="G25" s="15" t="s">
        <v>246</v>
      </c>
    </row>
    <row r="26" customFormat="false" ht="15" hidden="false" customHeight="true" outlineLevel="0" collapsed="false">
      <c r="A26" s="16"/>
      <c r="B26" s="15"/>
      <c r="C26" s="15"/>
      <c r="D26" s="15"/>
      <c r="E26" s="15"/>
      <c r="F26" s="15"/>
      <c r="G26" s="15" t="s">
        <v>246</v>
      </c>
    </row>
    <row r="27" customFormat="false" ht="15" hidden="false" customHeight="true" outlineLevel="0" collapsed="false">
      <c r="A27" s="16"/>
      <c r="B27" s="15"/>
      <c r="C27" s="15"/>
      <c r="D27" s="15"/>
      <c r="E27" s="15"/>
      <c r="F27" s="15"/>
      <c r="G27" s="15" t="s">
        <v>246</v>
      </c>
    </row>
    <row r="28" customFormat="false" ht="15" hidden="false" customHeight="true" outlineLevel="0" collapsed="false">
      <c r="A28" s="16"/>
      <c r="B28" s="15"/>
      <c r="C28" s="15"/>
      <c r="D28" s="15"/>
      <c r="E28" s="15"/>
      <c r="F28" s="15"/>
      <c r="G28" s="15" t="s">
        <v>246</v>
      </c>
    </row>
    <row r="29" customFormat="false" ht="15" hidden="false" customHeight="true" outlineLevel="0" collapsed="false">
      <c r="A29" s="16"/>
      <c r="B29" s="15"/>
      <c r="C29" s="15"/>
      <c r="D29" s="15"/>
      <c r="E29" s="15"/>
      <c r="F29" s="15"/>
      <c r="G29" s="15" t="s">
        <v>246</v>
      </c>
    </row>
    <row r="30" customFormat="false" ht="15" hidden="false" customHeight="true" outlineLevel="0" collapsed="false">
      <c r="A30" s="16"/>
      <c r="B30" s="15"/>
      <c r="C30" s="15"/>
      <c r="D30" s="15"/>
      <c r="E30" s="15"/>
      <c r="F30" s="15"/>
      <c r="G30" s="15" t="s">
        <v>246</v>
      </c>
    </row>
    <row r="31" customFormat="false" ht="15" hidden="false" customHeight="true" outlineLevel="0" collapsed="false">
      <c r="A31" s="16"/>
      <c r="B31" s="15"/>
      <c r="C31" s="15"/>
      <c r="D31" s="15"/>
      <c r="E31" s="15"/>
      <c r="F31" s="15"/>
      <c r="G31" s="15" t="s">
        <v>246</v>
      </c>
    </row>
    <row r="32" customFormat="false" ht="15" hidden="false" customHeight="true" outlineLevel="0" collapsed="false">
      <c r="A32" s="16"/>
      <c r="B32" s="15"/>
      <c r="C32" s="15"/>
      <c r="D32" s="15"/>
      <c r="E32" s="15"/>
      <c r="F32" s="15"/>
      <c r="G32" s="15" t="s">
        <v>246</v>
      </c>
    </row>
    <row r="33" customFormat="false" ht="15" hidden="false" customHeight="true" outlineLevel="0" collapsed="false">
      <c r="A33" s="16"/>
      <c r="B33" s="15"/>
      <c r="C33" s="15"/>
      <c r="D33" s="15"/>
      <c r="E33" s="15"/>
      <c r="F33" s="15"/>
      <c r="G33" s="15" t="s">
        <v>246</v>
      </c>
    </row>
    <row r="34" customFormat="false" ht="15" hidden="false" customHeight="true" outlineLevel="0" collapsed="false">
      <c r="A34" s="16"/>
      <c r="B34" s="15"/>
      <c r="C34" s="15"/>
      <c r="D34" s="15"/>
      <c r="E34" s="15"/>
      <c r="F34" s="15"/>
      <c r="G34" s="15" t="s">
        <v>246</v>
      </c>
    </row>
    <row r="35" customFormat="false" ht="15" hidden="false" customHeight="true" outlineLevel="0" collapsed="false">
      <c r="A35" s="16"/>
      <c r="B35" s="15"/>
      <c r="C35" s="15"/>
      <c r="D35" s="15"/>
      <c r="E35" s="15"/>
      <c r="F35" s="15"/>
      <c r="G35" s="15" t="s">
        <v>246</v>
      </c>
    </row>
    <row r="36" customFormat="false" ht="15" hidden="false" customHeight="true" outlineLevel="0" collapsed="false">
      <c r="A36" s="16"/>
      <c r="B36" s="15"/>
      <c r="C36" s="15"/>
      <c r="D36" s="15"/>
      <c r="E36" s="15"/>
      <c r="F36" s="15"/>
      <c r="G36" s="15" t="s">
        <v>246</v>
      </c>
    </row>
    <row r="37" customFormat="false" ht="15" hidden="false" customHeight="true" outlineLevel="0" collapsed="false">
      <c r="A37" s="16"/>
      <c r="B37" s="15"/>
      <c r="C37" s="15"/>
      <c r="D37" s="15"/>
      <c r="E37" s="15"/>
      <c r="F37" s="15"/>
      <c r="G37" s="15" t="s">
        <v>246</v>
      </c>
    </row>
    <row r="38" customFormat="false" ht="15" hidden="false" customHeight="true" outlineLevel="0" collapsed="false">
      <c r="A38" s="16"/>
      <c r="B38" s="15"/>
      <c r="C38" s="15"/>
      <c r="D38" s="15"/>
      <c r="E38" s="15"/>
      <c r="F38" s="15"/>
      <c r="G38" s="15" t="s">
        <v>246</v>
      </c>
    </row>
    <row r="39" customFormat="false" ht="15" hidden="false" customHeight="true" outlineLevel="0" collapsed="false">
      <c r="A39" s="16"/>
      <c r="B39" s="15"/>
      <c r="C39" s="15"/>
      <c r="D39" s="15"/>
      <c r="E39" s="15"/>
      <c r="F39" s="15"/>
      <c r="G39" s="15" t="s">
        <v>246</v>
      </c>
    </row>
    <row r="40" customFormat="false" ht="15" hidden="false" customHeight="true" outlineLevel="0" collapsed="false">
      <c r="A40" s="16"/>
      <c r="B40" s="15"/>
      <c r="C40" s="15"/>
      <c r="D40" s="15"/>
      <c r="E40" s="15"/>
      <c r="F40" s="15"/>
      <c r="G40" s="15" t="s">
        <v>246</v>
      </c>
    </row>
  </sheetData>
  <conditionalFormatting sqref="G5:G40">
    <cfRule type="cellIs" priority="2" operator="equal" aboveAverage="0" equalAverage="0" bottom="0" percent="0" rank="0" text="" dxfId="5">
      <formula>"Completada"</formula>
    </cfRule>
    <cfRule type="cellIs" priority="3" operator="equal" aboveAverage="0" equalAverage="0" bottom="0" percent="0" rank="0" text="" dxfId="7">
      <formula>"Pendiente"</formula>
    </cfRule>
  </conditionalFormatting>
  <dataValidations count="2">
    <dataValidation allowBlank="true" errorStyle="stop" operator="between" showDropDown="false" showErrorMessage="false" showInputMessage="false" sqref="B5:B40" type="list">
      <formula1>"0 – Arranque,1 – Auditoría antes,2 – Configuración base,3 – ALT,4 – Contraste,5 – Encabezados y contenido,6 – Formularios,7 – Teclado,8 – Feedback / Declaración,9 – Validación final,10 – Entregables"</formula1>
      <formula2>0</formula2>
    </dataValidation>
    <dataValidation allowBlank="true" errorStyle="stop" operator="between" showDropDown="false" showErrorMessage="false" showInputMessage="false" sqref="G5:G40" type="list">
      <formula1>"Pendiente,En curso,Completada"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  <col collapsed="false" customWidth="true" hidden="false" outlineLevel="0" max="3" min="3" style="1" width="13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247</v>
      </c>
    </row>
    <row r="2" customFormat="false" ht="15" hidden="false" customHeight="true" outlineLevel="0" collapsed="false">
      <c r="A2" s="6" t="s">
        <v>248</v>
      </c>
      <c r="B2" s="6" t="str">
        <f aca="false">COUNTIF(D5:D35,"Completada")&amp;" de "&amp;COUNTA(B5:B35)&amp;" tareas completadas ("&amp;TEXT(COUNTIF(D5:D35,"Completada")/COUNTA(B5:B35),"0%")&amp;")"</f>
        <v>16 de 31 tareas completadas (52%)</v>
      </c>
    </row>
    <row r="4" customFormat="false" ht="30" hidden="false" customHeight="true" outlineLevel="0" collapsed="false">
      <c r="A4" s="12" t="s">
        <v>249</v>
      </c>
      <c r="B4" s="12" t="s">
        <v>250</v>
      </c>
      <c r="C4" s="12" t="s">
        <v>36</v>
      </c>
      <c r="D4" s="12" t="s">
        <v>208</v>
      </c>
    </row>
    <row r="5" customFormat="false" ht="15" hidden="false" customHeight="true" outlineLevel="0" collapsed="false">
      <c r="A5" s="14" t="s">
        <v>251</v>
      </c>
      <c r="B5" s="14" t="s">
        <v>252</v>
      </c>
      <c r="C5" s="14" t="s">
        <v>46</v>
      </c>
      <c r="D5" s="15" t="s">
        <v>246</v>
      </c>
    </row>
    <row r="6" customFormat="false" ht="15" hidden="false" customHeight="true" outlineLevel="0" collapsed="false">
      <c r="A6" s="14" t="s">
        <v>251</v>
      </c>
      <c r="B6" s="14" t="s">
        <v>253</v>
      </c>
      <c r="C6" s="14" t="s">
        <v>46</v>
      </c>
      <c r="D6" s="15" t="s">
        <v>246</v>
      </c>
    </row>
    <row r="7" customFormat="false" ht="15" hidden="false" customHeight="true" outlineLevel="0" collapsed="false">
      <c r="A7" s="14" t="s">
        <v>251</v>
      </c>
      <c r="B7" s="14" t="s">
        <v>254</v>
      </c>
      <c r="C7" s="14" t="s">
        <v>125</v>
      </c>
      <c r="D7" s="15" t="s">
        <v>246</v>
      </c>
    </row>
    <row r="8" customFormat="false" ht="15" hidden="false" customHeight="true" outlineLevel="0" collapsed="false">
      <c r="A8" s="14" t="s">
        <v>251</v>
      </c>
      <c r="B8" s="14" t="s">
        <v>255</v>
      </c>
      <c r="C8" s="14" t="s">
        <v>125</v>
      </c>
      <c r="D8" s="15" t="s">
        <v>214</v>
      </c>
    </row>
    <row r="9" customFormat="false" ht="15" hidden="false" customHeight="true" outlineLevel="0" collapsed="false">
      <c r="A9" s="14" t="s">
        <v>256</v>
      </c>
      <c r="B9" s="14" t="s">
        <v>257</v>
      </c>
      <c r="C9" s="14" t="s">
        <v>46</v>
      </c>
      <c r="D9" s="15" t="s">
        <v>214</v>
      </c>
    </row>
    <row r="10" customFormat="false" ht="15" hidden="false" customHeight="true" outlineLevel="0" collapsed="false">
      <c r="A10" s="14" t="s">
        <v>256</v>
      </c>
      <c r="B10" s="14" t="s">
        <v>258</v>
      </c>
      <c r="C10" s="14" t="s">
        <v>46</v>
      </c>
      <c r="D10" s="15" t="s">
        <v>214</v>
      </c>
    </row>
    <row r="11" customFormat="false" ht="15" hidden="false" customHeight="true" outlineLevel="0" collapsed="false">
      <c r="A11" s="14" t="s">
        <v>256</v>
      </c>
      <c r="B11" s="14" t="s">
        <v>259</v>
      </c>
      <c r="C11" s="14" t="s">
        <v>46</v>
      </c>
      <c r="D11" s="15" t="s">
        <v>214</v>
      </c>
    </row>
    <row r="12" customFormat="false" ht="15" hidden="false" customHeight="true" outlineLevel="0" collapsed="false">
      <c r="A12" s="14" t="s">
        <v>256</v>
      </c>
      <c r="B12" s="14" t="s">
        <v>260</v>
      </c>
      <c r="C12" s="14" t="s">
        <v>46</v>
      </c>
      <c r="D12" s="15" t="s">
        <v>214</v>
      </c>
    </row>
    <row r="13" customFormat="false" ht="15" hidden="false" customHeight="true" outlineLevel="0" collapsed="false">
      <c r="A13" s="14" t="s">
        <v>256</v>
      </c>
      <c r="B13" s="14" t="s">
        <v>261</v>
      </c>
      <c r="C13" s="14" t="s">
        <v>46</v>
      </c>
      <c r="D13" s="15" t="s">
        <v>214</v>
      </c>
    </row>
    <row r="14" customFormat="false" ht="15" hidden="false" customHeight="true" outlineLevel="0" collapsed="false">
      <c r="A14" s="14" t="s">
        <v>256</v>
      </c>
      <c r="B14" s="14" t="s">
        <v>262</v>
      </c>
      <c r="C14" s="14" t="s">
        <v>46</v>
      </c>
      <c r="D14" s="15" t="s">
        <v>214</v>
      </c>
    </row>
    <row r="15" customFormat="false" ht="15" hidden="false" customHeight="true" outlineLevel="0" collapsed="false">
      <c r="A15" s="14" t="s">
        <v>256</v>
      </c>
      <c r="B15" s="14" t="s">
        <v>263</v>
      </c>
      <c r="C15" s="14" t="s">
        <v>46</v>
      </c>
      <c r="D15" s="15" t="s">
        <v>214</v>
      </c>
    </row>
    <row r="16" customFormat="false" ht="15" hidden="false" customHeight="true" outlineLevel="0" collapsed="false">
      <c r="A16" s="14" t="s">
        <v>256</v>
      </c>
      <c r="B16" s="14" t="s">
        <v>264</v>
      </c>
      <c r="C16" s="14" t="s">
        <v>125</v>
      </c>
      <c r="D16" s="15" t="s">
        <v>214</v>
      </c>
    </row>
    <row r="17" customFormat="false" ht="15" hidden="false" customHeight="true" outlineLevel="0" collapsed="false">
      <c r="A17" s="14" t="s">
        <v>256</v>
      </c>
      <c r="B17" s="14" t="s">
        <v>265</v>
      </c>
      <c r="C17" s="14" t="s">
        <v>125</v>
      </c>
      <c r="D17" s="15" t="s">
        <v>214</v>
      </c>
    </row>
    <row r="18" customFormat="false" ht="15" hidden="false" customHeight="true" outlineLevel="0" collapsed="false">
      <c r="A18" s="14" t="s">
        <v>256</v>
      </c>
      <c r="B18" s="14" t="s">
        <v>266</v>
      </c>
      <c r="C18" s="14" t="s">
        <v>125</v>
      </c>
      <c r="D18" s="15" t="s">
        <v>214</v>
      </c>
    </row>
    <row r="19" customFormat="false" ht="15" hidden="false" customHeight="true" outlineLevel="0" collapsed="false">
      <c r="A19" s="14" t="s">
        <v>267</v>
      </c>
      <c r="B19" s="14" t="s">
        <v>268</v>
      </c>
      <c r="C19" s="14" t="s">
        <v>125</v>
      </c>
      <c r="D19" s="15" t="s">
        <v>269</v>
      </c>
    </row>
    <row r="20" customFormat="false" ht="15" hidden="false" customHeight="true" outlineLevel="0" collapsed="false">
      <c r="A20" s="14" t="s">
        <v>267</v>
      </c>
      <c r="B20" s="14" t="s">
        <v>270</v>
      </c>
      <c r="C20" s="14" t="s">
        <v>46</v>
      </c>
      <c r="D20" s="15" t="s">
        <v>214</v>
      </c>
    </row>
    <row r="21" customFormat="false" ht="15" hidden="false" customHeight="true" outlineLevel="0" collapsed="false">
      <c r="A21" s="14" t="s">
        <v>267</v>
      </c>
      <c r="B21" s="14" t="s">
        <v>271</v>
      </c>
      <c r="C21" s="14" t="s">
        <v>46</v>
      </c>
      <c r="D21" s="15" t="s">
        <v>269</v>
      </c>
    </row>
    <row r="22" customFormat="false" ht="15" hidden="false" customHeight="true" outlineLevel="0" collapsed="false">
      <c r="A22" s="14" t="s">
        <v>267</v>
      </c>
      <c r="B22" s="14" t="s">
        <v>272</v>
      </c>
      <c r="C22" s="14" t="s">
        <v>46</v>
      </c>
      <c r="D22" s="15" t="s">
        <v>214</v>
      </c>
    </row>
    <row r="23" customFormat="false" ht="15" hidden="false" customHeight="true" outlineLevel="0" collapsed="false">
      <c r="A23" s="14" t="s">
        <v>267</v>
      </c>
      <c r="B23" s="14" t="s">
        <v>273</v>
      </c>
      <c r="C23" s="14" t="s">
        <v>46</v>
      </c>
      <c r="D23" s="15" t="s">
        <v>214</v>
      </c>
    </row>
    <row r="24" customFormat="false" ht="15" hidden="false" customHeight="true" outlineLevel="0" collapsed="false">
      <c r="A24" s="14" t="s">
        <v>267</v>
      </c>
      <c r="B24" s="14" t="s">
        <v>274</v>
      </c>
      <c r="C24" s="14" t="s">
        <v>125</v>
      </c>
      <c r="D24" s="15" t="s">
        <v>214</v>
      </c>
    </row>
    <row r="25" customFormat="false" ht="15" hidden="false" customHeight="true" outlineLevel="0" collapsed="false">
      <c r="A25" s="14" t="s">
        <v>275</v>
      </c>
      <c r="B25" s="14" t="s">
        <v>276</v>
      </c>
      <c r="C25" s="14" t="s">
        <v>46</v>
      </c>
      <c r="D25" s="15" t="s">
        <v>214</v>
      </c>
    </row>
    <row r="26" customFormat="false" ht="15" hidden="false" customHeight="true" outlineLevel="0" collapsed="false">
      <c r="A26" s="14" t="s">
        <v>275</v>
      </c>
      <c r="B26" s="14" t="s">
        <v>277</v>
      </c>
      <c r="C26" s="14" t="s">
        <v>125</v>
      </c>
      <c r="D26" s="15" t="s">
        <v>269</v>
      </c>
    </row>
    <row r="27" customFormat="false" ht="15" hidden="false" customHeight="true" outlineLevel="0" collapsed="false">
      <c r="A27" s="14" t="s">
        <v>275</v>
      </c>
      <c r="B27" s="14" t="s">
        <v>278</v>
      </c>
      <c r="C27" s="14" t="s">
        <v>125</v>
      </c>
      <c r="D27" s="15" t="s">
        <v>246</v>
      </c>
    </row>
    <row r="28" customFormat="false" ht="15" hidden="false" customHeight="true" outlineLevel="0" collapsed="false">
      <c r="A28" s="14" t="s">
        <v>275</v>
      </c>
      <c r="B28" s="14" t="s">
        <v>279</v>
      </c>
      <c r="C28" s="14" t="s">
        <v>46</v>
      </c>
      <c r="D28" s="15" t="s">
        <v>246</v>
      </c>
    </row>
    <row r="29" customFormat="false" ht="15" hidden="false" customHeight="true" outlineLevel="0" collapsed="false">
      <c r="A29" s="14" t="s">
        <v>280</v>
      </c>
      <c r="B29" s="14" t="s">
        <v>281</v>
      </c>
      <c r="C29" s="14" t="s">
        <v>46</v>
      </c>
      <c r="D29" s="15" t="s">
        <v>246</v>
      </c>
    </row>
    <row r="30" customFormat="false" ht="15" hidden="false" customHeight="true" outlineLevel="0" collapsed="false">
      <c r="A30" s="14" t="s">
        <v>280</v>
      </c>
      <c r="B30" s="14" t="s">
        <v>282</v>
      </c>
      <c r="C30" s="14" t="s">
        <v>46</v>
      </c>
      <c r="D30" s="15" t="s">
        <v>246</v>
      </c>
    </row>
    <row r="31" customFormat="false" ht="15" hidden="false" customHeight="true" outlineLevel="0" collapsed="false">
      <c r="A31" s="14" t="s">
        <v>280</v>
      </c>
      <c r="B31" s="14" t="s">
        <v>283</v>
      </c>
      <c r="C31" s="14" t="s">
        <v>46</v>
      </c>
      <c r="D31" s="15" t="s">
        <v>246</v>
      </c>
    </row>
    <row r="32" customFormat="false" ht="15" hidden="false" customHeight="true" outlineLevel="0" collapsed="false">
      <c r="A32" s="14" t="s">
        <v>280</v>
      </c>
      <c r="B32" s="14" t="s">
        <v>284</v>
      </c>
      <c r="C32" s="14" t="s">
        <v>46</v>
      </c>
      <c r="D32" s="15" t="s">
        <v>246</v>
      </c>
    </row>
    <row r="33" customFormat="false" ht="15" hidden="false" customHeight="true" outlineLevel="0" collapsed="false">
      <c r="A33" s="14" t="s">
        <v>280</v>
      </c>
      <c r="B33" s="14" t="s">
        <v>285</v>
      </c>
      <c r="C33" s="14" t="s">
        <v>46</v>
      </c>
      <c r="D33" s="15" t="s">
        <v>246</v>
      </c>
    </row>
    <row r="34" customFormat="false" ht="15" hidden="false" customHeight="true" outlineLevel="0" collapsed="false">
      <c r="A34" s="14" t="s">
        <v>286</v>
      </c>
      <c r="B34" s="14" t="s">
        <v>287</v>
      </c>
      <c r="C34" s="14" t="s">
        <v>46</v>
      </c>
      <c r="D34" s="15" t="s">
        <v>246</v>
      </c>
    </row>
    <row r="35" customFormat="false" ht="15" hidden="false" customHeight="true" outlineLevel="0" collapsed="false">
      <c r="A35" s="14" t="s">
        <v>286</v>
      </c>
      <c r="B35" s="14" t="s">
        <v>288</v>
      </c>
      <c r="C35" s="14" t="s">
        <v>125</v>
      </c>
      <c r="D35" s="15" t="s">
        <v>246</v>
      </c>
    </row>
  </sheetData>
  <autoFilter ref="A4:D35"/>
  <conditionalFormatting sqref="D5:D35">
    <cfRule type="cellIs" priority="2" operator="equal" aboveAverage="0" equalAverage="0" bottom="0" percent="0" rank="0" text="" dxfId="5">
      <formula>"Completada"</formula>
    </cfRule>
    <cfRule type="cellIs" priority="3" operator="equal" aboveAverage="0" equalAverage="0" bottom="0" percent="0" rank="0" text="" dxfId="7">
      <formula>"Pendiente"</formula>
    </cfRule>
  </conditionalFormatting>
  <dataValidations count="1">
    <dataValidation allowBlank="false" errorStyle="stop" operator="between" showDropDown="false" showErrorMessage="false" showInputMessage="false" sqref="D5:D35" type="list">
      <formula1>"Pendiente,En curso,Completada"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2026-10-19T00:52:19Z</dcterms:created>
  <dc:creator>openpyxl</dc:creator>
  <dc:description/>
  <dc:language>en-US</dc:language>
  <cp:lastModifiedBy/>
  <dcterms:modified xsi:type="dcterms:W3CDTF">2026-10-19T21:39:53Z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